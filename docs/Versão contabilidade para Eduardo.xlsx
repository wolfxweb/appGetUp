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ia\Desktop\"/>
    </mc:Choice>
  </mc:AlternateContent>
  <xr:revisionPtr revIDLastSave="0" documentId="8_{18B95E04-D790-4117-AFF5-86CA54EF25B2}" xr6:coauthVersionLast="47" xr6:coauthVersionMax="47" xr10:uidLastSave="{00000000-0000-0000-0000-000000000000}"/>
  <bookViews>
    <workbookView xWindow="-120" yWindow="-120" windowWidth="20730" windowHeight="11160" xr2:uid="{B2537FF2-77AA-4BEF-BF2B-890A66B35EB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" i="1" l="1"/>
  <c r="L38" i="1"/>
  <c r="L36" i="1"/>
  <c r="L35" i="1"/>
  <c r="L34" i="1"/>
  <c r="L37" i="1" l="1"/>
  <c r="M37" i="1" s="1"/>
  <c r="M35" i="1"/>
  <c r="M36" i="1"/>
  <c r="M38" i="1"/>
  <c r="E41" i="1"/>
  <c r="L39" i="1" s="1"/>
  <c r="M39" i="1" s="1"/>
  <c r="E37" i="1"/>
  <c r="E30" i="1"/>
  <c r="E33" i="1" s="1"/>
  <c r="E35" i="1" s="1"/>
  <c r="E29" i="1"/>
  <c r="E18" i="1"/>
  <c r="E10" i="1" l="1"/>
  <c r="E36" i="1"/>
  <c r="E21" i="1"/>
  <c r="E32" i="1"/>
  <c r="E20" i="1"/>
  <c r="E11" i="1" l="1"/>
  <c r="H46" i="1" s="1"/>
  <c r="L40" i="1"/>
  <c r="M40" i="1" s="1"/>
  <c r="E39" i="1"/>
  <c r="H43" i="1" s="1"/>
  <c r="E13" i="1"/>
  <c r="H42" i="1" l="1"/>
</calcChain>
</file>

<file path=xl/sharedStrings.xml><?xml version="1.0" encoding="utf-8"?>
<sst xmlns="http://schemas.openxmlformats.org/spreadsheetml/2006/main" count="50" uniqueCount="50">
  <si>
    <t>BANCO DE DADOS SUCCESSWAY</t>
  </si>
  <si>
    <r>
      <t xml:space="preserve">(A) = </t>
    </r>
    <r>
      <rPr>
        <b/>
        <sz val="10"/>
        <color theme="1"/>
        <rFont val="Calibri"/>
        <family val="2"/>
        <scheme val="minor"/>
      </rPr>
      <t>Mês informado pelo usuário</t>
    </r>
  </si>
  <si>
    <t>Capacidade de atendimento (informado no cadastro)</t>
  </si>
  <si>
    <t>Manoel,</t>
  </si>
  <si>
    <t>Maio</t>
  </si>
  <si>
    <r>
      <t xml:space="preserve">(R$A2) = </t>
    </r>
    <r>
      <rPr>
        <b/>
        <sz val="11"/>
        <rFont val="Calibri"/>
        <family val="2"/>
        <scheme val="minor"/>
      </rPr>
      <t>Faturamento - Custo total</t>
    </r>
  </si>
  <si>
    <r>
      <t xml:space="preserve">(A1) = </t>
    </r>
    <r>
      <rPr>
        <b/>
        <sz val="11"/>
        <rFont val="Calibri"/>
        <family val="2"/>
        <scheme val="minor"/>
      </rPr>
      <t>Se( (D%)&lt;0;"prejuízo de"; Se((D%)&gt;0;"lucro de"; SE((D%)=0;"margem zero")))</t>
    </r>
  </si>
  <si>
    <r>
      <rPr>
        <b/>
        <sz val="11"/>
        <color rgb="FFC00000"/>
        <rFont val="Calibri"/>
        <family val="2"/>
        <scheme val="minor"/>
      </rPr>
      <t>(A4) =</t>
    </r>
    <r>
      <rPr>
        <b/>
        <sz val="11"/>
        <color theme="1"/>
        <rFont val="Calibri"/>
        <family val="2"/>
        <scheme val="minor"/>
      </rPr>
      <t xml:space="preserve"> Se((D%)&lt;0;"perdeu"; Se((D%)&gt;=0;"lucrou"))</t>
    </r>
  </si>
  <si>
    <r>
      <rPr>
        <b/>
        <sz val="11"/>
        <color rgb="FFC00000"/>
        <rFont val="Calibri"/>
        <family val="2"/>
        <scheme val="minor"/>
      </rPr>
      <t>(R$A5)</t>
    </r>
    <r>
      <rPr>
        <b/>
        <sz val="11"/>
        <color theme="1"/>
        <rFont val="Calibri"/>
        <family val="2"/>
        <scheme val="minor"/>
      </rPr>
      <t xml:space="preserve"> = (A3%)*100</t>
    </r>
  </si>
  <si>
    <r>
      <rPr>
        <b/>
        <sz val="11"/>
        <color rgb="FFC00000"/>
        <rFont val="Calibri"/>
        <family val="2"/>
        <scheme val="minor"/>
      </rPr>
      <t>(B)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C00000"/>
        <rFont val="Calibri"/>
        <family val="2"/>
        <scheme val="minor"/>
      </rPr>
      <t>=</t>
    </r>
    <r>
      <rPr>
        <b/>
        <sz val="11"/>
        <color theme="1"/>
        <rFont val="Calibri"/>
        <family val="2"/>
        <scheme val="minor"/>
      </rPr>
      <t xml:space="preserve"> quantidade de clientes que compraram</t>
    </r>
  </si>
  <si>
    <r>
      <rPr>
        <b/>
        <sz val="11"/>
        <color rgb="FFC00000"/>
        <rFont val="Calibri"/>
        <family val="2"/>
        <scheme val="minor"/>
      </rPr>
      <t>(R$B1) =</t>
    </r>
    <r>
      <rPr>
        <b/>
        <sz val="11"/>
        <color theme="1"/>
        <rFont val="Calibri"/>
        <family val="2"/>
        <scheme val="minor"/>
      </rPr>
      <t xml:space="preserve"> Faturamento (Dados básicos)</t>
    </r>
  </si>
  <si>
    <r>
      <t>(B)</t>
    </r>
    <r>
      <rPr>
        <b/>
        <sz val="12"/>
        <color rgb="FFC00000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clientes compraram, gerando um faturamento de (R$B1). Ou seja: em média o valor de cada venda (ticket médio), foi de (R$B2).</t>
    </r>
  </si>
  <si>
    <r>
      <rPr>
        <b/>
        <sz val="11"/>
        <color rgb="FFC00000"/>
        <rFont val="Calibri"/>
        <family val="2"/>
        <scheme val="minor"/>
      </rPr>
      <t>(C1%) =</t>
    </r>
    <r>
      <rPr>
        <b/>
        <sz val="11"/>
        <color theme="1"/>
        <rFont val="Calibri"/>
        <family val="2"/>
        <scheme val="minor"/>
      </rPr>
      <t xml:space="preserve"> Gastos com vendas/Faturamento</t>
    </r>
  </si>
  <si>
    <r>
      <rPr>
        <b/>
        <sz val="11"/>
        <color rgb="FFC00000"/>
        <rFont val="Calibri"/>
        <family val="2"/>
        <scheme val="minor"/>
      </rPr>
      <t>(R$C)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C00000"/>
        <rFont val="Calibri"/>
        <family val="2"/>
        <scheme val="minor"/>
      </rPr>
      <t>=</t>
    </r>
    <r>
      <rPr>
        <b/>
        <sz val="11"/>
        <color theme="1"/>
        <rFont val="Calibri"/>
        <family val="2"/>
        <scheme val="minor"/>
      </rPr>
      <t xml:space="preserve"> Gastos com vendas (Dados básicos)</t>
    </r>
  </si>
  <si>
    <r>
      <rPr>
        <b/>
        <sz val="11"/>
        <color rgb="FFC00000"/>
        <rFont val="Calibri"/>
        <family val="2"/>
        <scheme val="minor"/>
      </rPr>
      <t>(R$D1)</t>
    </r>
    <r>
      <rPr>
        <b/>
        <sz val="11"/>
        <rFont val="Calibri"/>
        <family val="2"/>
        <scheme val="minor"/>
      </rPr>
      <t xml:space="preserve"> = Custo dos insumos e mercadorias (Dados básicos)</t>
    </r>
  </si>
  <si>
    <r>
      <rPr>
        <b/>
        <sz val="11"/>
        <color rgb="FFC00000"/>
        <rFont val="Calibri"/>
        <family val="2"/>
        <scheme val="minor"/>
      </rPr>
      <t>(D2%) =</t>
    </r>
    <r>
      <rPr>
        <b/>
        <sz val="11"/>
        <color theme="1"/>
        <rFont val="Calibri"/>
        <family val="2"/>
        <scheme val="minor"/>
      </rPr>
      <t xml:space="preserve"> Custo das mercadorias/Faturamento</t>
    </r>
  </si>
  <si>
    <r>
      <rPr>
        <b/>
        <sz val="11"/>
        <color rgb="FFC00000"/>
        <rFont val="Calibri"/>
        <family val="2"/>
        <scheme val="minor"/>
      </rPr>
      <t>(E1%) =</t>
    </r>
    <r>
      <rPr>
        <b/>
        <sz val="11"/>
        <color theme="1"/>
        <rFont val="Calibri"/>
        <family val="2"/>
        <scheme val="minor"/>
      </rPr>
      <t xml:space="preserve"> (R$E)/Faturamento</t>
    </r>
  </si>
  <si>
    <r>
      <rPr>
        <b/>
        <sz val="11"/>
        <color rgb="FFC00000"/>
        <rFont val="Calibri"/>
        <family val="2"/>
        <scheme val="minor"/>
      </rPr>
      <t>(R$E) =</t>
    </r>
    <r>
      <rPr>
        <b/>
        <sz val="11"/>
        <color theme="1"/>
        <rFont val="Calibri"/>
        <family val="2"/>
        <scheme val="minor"/>
      </rPr>
      <t xml:space="preserve"> Faturameto-(Gastos com vendas+Custo insumos e mercadorias (R$D1))</t>
    </r>
  </si>
  <si>
    <r>
      <rPr>
        <b/>
        <sz val="11"/>
        <color rgb="FFC00000"/>
        <rFont val="Calibri"/>
        <family val="2"/>
        <scheme val="minor"/>
      </rPr>
      <t>(R$E3) =</t>
    </r>
    <r>
      <rPr>
        <b/>
        <sz val="11"/>
        <color theme="1"/>
        <rFont val="Calibri"/>
        <family val="2"/>
        <scheme val="minor"/>
      </rPr>
      <t xml:space="preserve"> Custos fixos (Dados básicos)</t>
    </r>
  </si>
  <si>
    <r>
      <rPr>
        <b/>
        <sz val="11"/>
        <color rgb="FFC00000"/>
        <rFont val="Calibri"/>
        <family val="2"/>
        <scheme val="minor"/>
      </rPr>
      <t>(R$C2)</t>
    </r>
    <r>
      <rPr>
        <b/>
        <sz val="11"/>
        <color theme="1"/>
        <rFont val="Calibri"/>
        <family val="2"/>
        <scheme val="minor"/>
      </rPr>
      <t>= Faturamento - Gastos com vendas</t>
    </r>
  </si>
  <si>
    <r>
      <rPr>
        <b/>
        <sz val="11"/>
        <color rgb="FFC00000"/>
        <rFont val="Calibri"/>
        <family val="2"/>
        <scheme val="minor"/>
      </rPr>
      <t>(R$B2) =</t>
    </r>
    <r>
      <rPr>
        <b/>
        <sz val="10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Ticket médio = (R$B1)/(B)</t>
    </r>
  </si>
  <si>
    <r>
      <rPr>
        <b/>
        <sz val="11"/>
        <color rgb="FFC00000"/>
        <rFont val="Calibri"/>
        <family val="2"/>
        <scheme val="minor"/>
      </rPr>
      <t>(F%)</t>
    </r>
    <r>
      <rPr>
        <sz val="11"/>
        <color theme="1"/>
        <rFont val="Calibri"/>
        <family val="2"/>
        <scheme val="minor"/>
      </rPr>
      <t xml:space="preserve"> = Margem de segurança =</t>
    </r>
    <r>
      <rPr>
        <b/>
        <sz val="11"/>
        <color theme="1"/>
        <rFont val="Calibri"/>
        <family val="2"/>
        <scheme val="minor"/>
      </rPr>
      <t xml:space="preserve"> (Faturamento - ponto de equilíbrio)/Faturamento</t>
    </r>
  </si>
  <si>
    <r>
      <rPr>
        <b/>
        <sz val="11"/>
        <color rgb="FFC00000"/>
        <rFont val="Calibri"/>
        <family val="2"/>
        <scheme val="minor"/>
      </rPr>
      <t>Custo total =</t>
    </r>
    <r>
      <rPr>
        <b/>
        <sz val="11"/>
        <color theme="1"/>
        <rFont val="Calibri"/>
        <family val="2"/>
        <scheme val="minor"/>
      </rPr>
      <t xml:space="preserve"> Gasto com vendas + custo dos insumos e produtos de terceiros + custo fixo</t>
    </r>
  </si>
  <si>
    <r>
      <t xml:space="preserve">(A3%) = </t>
    </r>
    <r>
      <rPr>
        <b/>
        <sz val="11"/>
        <rFont val="Calibri"/>
        <family val="2"/>
        <scheme val="minor"/>
      </rPr>
      <t>(R$A2)/Faturamento</t>
    </r>
  </si>
  <si>
    <t>Margem de lucro ideal (informado no cadastro)</t>
  </si>
  <si>
    <t xml:space="preserve">Os gastos com vendas ((R$C)) representaram (C1%) do faturamento, o que significa que do total faturado, (R$C2) ficaram disponíveis para o negócio. </t>
  </si>
  <si>
    <r>
      <rPr>
        <b/>
        <sz val="11"/>
        <color rgb="FFC00000"/>
        <rFont val="Calibri"/>
        <family val="2"/>
        <scheme val="minor"/>
      </rPr>
      <t>(R$E5)</t>
    </r>
    <r>
      <rPr>
        <b/>
        <sz val="11"/>
        <color theme="1"/>
        <rFont val="Calibri"/>
        <family val="2"/>
        <scheme val="minor"/>
      </rPr>
      <t xml:space="preserve"> =</t>
    </r>
    <r>
      <rPr>
        <b/>
        <sz val="11"/>
        <color rgb="FFC0000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 xml:space="preserve"> (E4)*Ticket médio (R$B2)</t>
    </r>
  </si>
  <si>
    <t>Sua empresa encerrou o mês de (A) com (A1)  (R$A2). A cada R$100,00 de venda seu negócio (A4) (R$A5).</t>
  </si>
  <si>
    <t>Em média cada venda contribuiu com (R$E2) para cobrir os custos fixos, que em (A) foram de (R$E3).</t>
  </si>
  <si>
    <t xml:space="preserve">Até aqui restaram (R$E)  para cobrir os custos de funcionamento e gestão da empresa e gerar resultado. </t>
  </si>
  <si>
    <t>Assim, para começar a ter lucro foi preciso alcançar (R$E5) de faturamento o que equivale a (E4) vendas.</t>
  </si>
  <si>
    <t xml:space="preserve">Cada R$1,00 gasto com o funcionamento da empresa resultou em (R$E6) de faturamento. </t>
  </si>
  <si>
    <t>Resumindo:</t>
  </si>
  <si>
    <t>Faturamento</t>
  </si>
  <si>
    <t>Gastos c/vendas</t>
  </si>
  <si>
    <t>Custos variáveis</t>
  </si>
  <si>
    <t>Custos fixos</t>
  </si>
  <si>
    <t>Custo total</t>
  </si>
  <si>
    <t>Margem bruta</t>
  </si>
  <si>
    <t>A análise mensal mostra o que aconteceu. Agora vamos identificar oportunidades e seguir avançando no caminho para o sucesso.</t>
  </si>
  <si>
    <t>Vamos?</t>
  </si>
  <si>
    <r>
      <rPr>
        <b/>
        <sz val="11"/>
        <color rgb="FFC00000"/>
        <rFont val="Calibri"/>
        <family val="2"/>
        <scheme val="minor"/>
      </rPr>
      <t>(R$E2)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C00000"/>
        <rFont val="Calibri"/>
        <family val="2"/>
        <scheme val="minor"/>
      </rPr>
      <t>=</t>
    </r>
    <r>
      <rPr>
        <b/>
        <sz val="10"/>
        <color theme="1"/>
        <rFont val="Calibri"/>
        <family val="2"/>
        <scheme val="minor"/>
      </rPr>
      <t xml:space="preserve"> Margem contribuição (R$E)/Quantidade clientes (B)</t>
    </r>
  </si>
  <si>
    <r>
      <rPr>
        <b/>
        <sz val="11"/>
        <color rgb="FFC00000"/>
        <rFont val="Calibri"/>
        <family val="2"/>
        <scheme val="minor"/>
      </rPr>
      <t>(E4)</t>
    </r>
    <r>
      <rPr>
        <b/>
        <sz val="11"/>
        <color theme="1"/>
        <rFont val="Calibri"/>
        <family val="2"/>
        <scheme val="minor"/>
      </rPr>
      <t>=</t>
    </r>
    <r>
      <rPr>
        <b/>
        <sz val="10"/>
        <color theme="1"/>
        <rFont val="Calibri"/>
        <family val="2"/>
        <scheme val="minor"/>
      </rPr>
      <t>Custos fixos (R$E3)/Margem de contribuição por venda (R$E2)</t>
    </r>
  </si>
  <si>
    <t xml:space="preserve">Compras </t>
  </si>
  <si>
    <r>
      <rPr>
        <b/>
        <sz val="11"/>
        <color rgb="FFC00000"/>
        <rFont val="Calibri"/>
        <family val="2"/>
        <scheme val="minor"/>
      </rPr>
      <t xml:space="preserve">(D) = </t>
    </r>
    <r>
      <rPr>
        <b/>
        <sz val="11"/>
        <rFont val="Calibri"/>
        <family val="2"/>
        <scheme val="minor"/>
      </rPr>
      <t xml:space="preserve"> SE for "comércio" = O custo das mercadorias necessárias para as vendas realizadas"; Se for "indústria" ou "alimentação fora do lar" = A compra dos insumos,  produtos de terceiros e custos de produção para fabricar os itens vendidos"; Se for "serviços" = A compra dos insumos e produtos de terceiros adquiridos, a mão de obra direta e contratada,para executar os serviços realizados...</t>
    </r>
  </si>
  <si>
    <r>
      <t xml:space="preserve">(D) somaram (R$D1), correspondendo a (D2%) do faturamento. </t>
    </r>
    <r>
      <rPr>
        <b/>
        <i/>
        <sz val="12"/>
        <color theme="1"/>
        <rFont val="Calibri"/>
        <family val="2"/>
        <scheme val="minor"/>
      </rPr>
      <t>É sempre oportuno lembrar que o sucesso começa com a qualidade das compras.</t>
    </r>
  </si>
  <si>
    <t>(R$E6) = LOJA =</t>
  </si>
  <si>
    <t>(R$E6) = DEMAIS =</t>
  </si>
  <si>
    <t xml:space="preserve"> Faturamento/Custo fixo</t>
  </si>
  <si>
    <t>Faturamento/(C. fixo+Mão de obra direta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</si>
</sst>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"/>
    <numFmt numFmtId="165" formatCode="0.0%"/>
    <numFmt numFmtId="166" formatCode="0.000%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rgb="FFC00000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99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7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left" vertical="center" wrapText="1"/>
    </xf>
    <xf numFmtId="164" fontId="0" fillId="0" borderId="0" xfId="0" applyNumberFormat="1"/>
    <xf numFmtId="0" fontId="6" fillId="0" borderId="0" xfId="0" applyFont="1" applyAlignment="1">
      <alignment vertical="center" wrapText="1"/>
    </xf>
    <xf numFmtId="165" fontId="0" fillId="0" borderId="0" xfId="1" applyNumberFormat="1" applyFont="1"/>
    <xf numFmtId="10" fontId="0" fillId="0" borderId="0" xfId="1" applyNumberFormat="1" applyFont="1"/>
    <xf numFmtId="10" fontId="0" fillId="0" borderId="0" xfId="1" applyNumberFormat="1" applyFont="1" applyFill="1"/>
    <xf numFmtId="164" fontId="0" fillId="0" borderId="0" xfId="1" applyNumberFormat="1" applyFont="1" applyFill="1"/>
    <xf numFmtId="166" fontId="0" fillId="0" borderId="0" xfId="1" applyNumberFormat="1" applyFont="1"/>
    <xf numFmtId="0" fontId="8" fillId="0" borderId="0" xfId="0" applyFont="1" applyAlignment="1">
      <alignment vertical="top" wrapText="1"/>
    </xf>
    <xf numFmtId="0" fontId="6" fillId="0" borderId="0" xfId="0" applyFont="1" applyAlignment="1">
      <alignment horizontal="left" wrapText="1"/>
    </xf>
    <xf numFmtId="164" fontId="2" fillId="0" borderId="0" xfId="0" applyNumberFormat="1" applyFont="1"/>
    <xf numFmtId="164" fontId="0" fillId="0" borderId="0" xfId="1" applyNumberFormat="1" applyFont="1" applyFill="1" applyBorder="1"/>
    <xf numFmtId="164" fontId="0" fillId="0" borderId="0" xfId="0" applyNumberFormat="1" applyAlignment="1">
      <alignment horizontal="center"/>
    </xf>
    <xf numFmtId="0" fontId="6" fillId="2" borderId="0" xfId="0" applyFont="1" applyFill="1"/>
    <xf numFmtId="164" fontId="2" fillId="2" borderId="4" xfId="0" applyNumberFormat="1" applyFont="1" applyFill="1" applyBorder="1" applyAlignment="1">
      <alignment wrapText="1"/>
    </xf>
    <xf numFmtId="164" fontId="2" fillId="2" borderId="4" xfId="0" applyNumberFormat="1" applyFont="1" applyFill="1" applyBorder="1"/>
    <xf numFmtId="0" fontId="4" fillId="3" borderId="7" xfId="0" applyFont="1" applyFill="1" applyBorder="1" applyAlignment="1">
      <alignment horizontal="center"/>
    </xf>
    <xf numFmtId="164" fontId="4" fillId="3" borderId="2" xfId="0" applyNumberFormat="1" applyFont="1" applyFill="1" applyBorder="1" applyAlignment="1">
      <alignment horizontal="center"/>
    </xf>
    <xf numFmtId="10" fontId="4" fillId="3" borderId="2" xfId="1" applyNumberFormat="1" applyFont="1" applyFill="1" applyBorder="1" applyAlignment="1">
      <alignment horizontal="center"/>
    </xf>
    <xf numFmtId="164" fontId="4" fillId="3" borderId="2" xfId="0" applyNumberFormat="1" applyFont="1" applyFill="1" applyBorder="1" applyAlignment="1">
      <alignment horizontal="center" vertical="center"/>
    </xf>
    <xf numFmtId="3" fontId="4" fillId="3" borderId="2" xfId="0" applyNumberFormat="1" applyFont="1" applyFill="1" applyBorder="1" applyAlignment="1">
      <alignment horizontal="center"/>
    </xf>
    <xf numFmtId="164" fontId="4" fillId="3" borderId="2" xfId="1" applyNumberFormat="1" applyFont="1" applyFill="1" applyBorder="1" applyAlignment="1">
      <alignment horizontal="center" vertical="center"/>
    </xf>
    <xf numFmtId="3" fontId="4" fillId="3" borderId="2" xfId="0" applyNumberFormat="1" applyFont="1" applyFill="1" applyBorder="1" applyAlignment="1">
      <alignment horizontal="center" vertical="center"/>
    </xf>
    <xf numFmtId="164" fontId="4" fillId="3" borderId="2" xfId="1" applyNumberFormat="1" applyFont="1" applyFill="1" applyBorder="1" applyAlignment="1">
      <alignment vertical="center"/>
    </xf>
    <xf numFmtId="165" fontId="0" fillId="2" borderId="4" xfId="1" applyNumberFormat="1" applyFont="1" applyFill="1" applyBorder="1" applyAlignment="1">
      <alignment horizontal="center"/>
    </xf>
    <xf numFmtId="165" fontId="2" fillId="2" borderId="4" xfId="1" applyNumberFormat="1" applyFont="1" applyFill="1" applyBorder="1" applyAlignment="1">
      <alignment horizontal="center"/>
    </xf>
    <xf numFmtId="0" fontId="11" fillId="0" borderId="0" xfId="0" applyFont="1" applyAlignment="1">
      <alignment wrapText="1"/>
    </xf>
    <xf numFmtId="9" fontId="0" fillId="0" borderId="0" xfId="1" applyFont="1" applyFill="1"/>
    <xf numFmtId="164" fontId="2" fillId="2" borderId="5" xfId="0" applyNumberFormat="1" applyFont="1" applyFill="1" applyBorder="1" applyAlignment="1">
      <alignment wrapText="1"/>
    </xf>
    <xf numFmtId="165" fontId="2" fillId="2" borderId="5" xfId="1" applyNumberFormat="1" applyFont="1" applyFill="1" applyBorder="1" applyAlignment="1">
      <alignment horizontal="center"/>
    </xf>
    <xf numFmtId="164" fontId="2" fillId="2" borderId="17" xfId="0" applyNumberFormat="1" applyFont="1" applyFill="1" applyBorder="1"/>
    <xf numFmtId="165" fontId="2" fillId="2" borderId="18" xfId="1" applyNumberFormat="1" applyFont="1" applyFill="1" applyBorder="1" applyAlignment="1">
      <alignment horizontal="center"/>
    </xf>
    <xf numFmtId="0" fontId="12" fillId="0" borderId="1" xfId="0" applyFont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6" fillId="2" borderId="0" xfId="0" applyFont="1" applyFill="1" applyAlignment="1">
      <alignment horizontal="left" wrapText="1"/>
    </xf>
    <xf numFmtId="0" fontId="6" fillId="2" borderId="4" xfId="0" applyFont="1" applyFill="1" applyBorder="1" applyAlignment="1">
      <alignment horizontal="left" wrapText="1"/>
    </xf>
    <xf numFmtId="0" fontId="6" fillId="2" borderId="0" xfId="0" applyFont="1" applyFill="1" applyAlignment="1">
      <alignment horizontal="left" vertical="center" wrapText="1"/>
    </xf>
    <xf numFmtId="0" fontId="0" fillId="3" borderId="12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10" fontId="4" fillId="3" borderId="2" xfId="1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/>
    </xf>
    <xf numFmtId="0" fontId="2" fillId="3" borderId="12" xfId="0" applyFont="1" applyFill="1" applyBorder="1" applyAlignment="1">
      <alignment horizontal="left" wrapText="1"/>
    </xf>
    <xf numFmtId="0" fontId="2" fillId="3" borderId="4" xfId="0" applyFont="1" applyFill="1" applyBorder="1" applyAlignment="1">
      <alignment horizontal="left" wrapText="1"/>
    </xf>
    <xf numFmtId="0" fontId="2" fillId="3" borderId="12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164" fontId="4" fillId="3" borderId="3" xfId="0" applyNumberFormat="1" applyFont="1" applyFill="1" applyBorder="1" applyAlignment="1">
      <alignment horizontal="center" vertical="center"/>
    </xf>
    <xf numFmtId="164" fontId="4" fillId="3" borderId="7" xfId="0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left" wrapText="1"/>
    </xf>
    <xf numFmtId="0" fontId="6" fillId="2" borderId="16" xfId="0" applyFont="1" applyFill="1" applyBorder="1" applyAlignment="1">
      <alignment horizontal="left" wrapText="1"/>
    </xf>
    <xf numFmtId="0" fontId="6" fillId="2" borderId="17" xfId="0" applyFont="1" applyFill="1" applyBorder="1" applyAlignment="1">
      <alignment horizontal="left" wrapText="1"/>
    </xf>
    <xf numFmtId="0" fontId="4" fillId="3" borderId="12" xfId="0" applyFont="1" applyFill="1" applyBorder="1" applyAlignment="1">
      <alignment horizontal="left" wrapText="1"/>
    </xf>
    <xf numFmtId="0" fontId="4" fillId="3" borderId="4" xfId="0" applyFont="1" applyFill="1" applyBorder="1" applyAlignment="1">
      <alignment horizontal="left" wrapText="1"/>
    </xf>
    <xf numFmtId="0" fontId="2" fillId="3" borderId="12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13" xfId="0" applyFont="1" applyFill="1" applyBorder="1" applyAlignment="1">
      <alignment horizontal="left" vertical="center" wrapText="1"/>
    </xf>
    <xf numFmtId="0" fontId="2" fillId="3" borderId="14" xfId="0" applyFont="1" applyFill="1" applyBorder="1" applyAlignment="1">
      <alignment horizontal="left" vertical="center" wrapText="1"/>
    </xf>
    <xf numFmtId="164" fontId="4" fillId="3" borderId="2" xfId="0" applyNumberFormat="1" applyFont="1" applyFill="1" applyBorder="1" applyAlignment="1">
      <alignment horizontal="center" vertical="center"/>
    </xf>
    <xf numFmtId="164" fontId="4" fillId="3" borderId="15" xfId="0" applyNumberFormat="1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2" fillId="3" borderId="1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8" fillId="2" borderId="0" xfId="0" applyFont="1" applyFill="1" applyAlignment="1">
      <alignment horizontal="left" vertical="top" wrapText="1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12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left"/>
    </xf>
    <xf numFmtId="0" fontId="10" fillId="2" borderId="0" xfId="0" applyFont="1" applyFill="1" applyAlignment="1">
      <alignment horizontal="left"/>
    </xf>
    <xf numFmtId="0" fontId="5" fillId="3" borderId="19" xfId="0" applyFont="1" applyFill="1" applyBorder="1" applyAlignment="1">
      <alignment horizontal="center" wrapText="1"/>
    </xf>
    <xf numFmtId="0" fontId="5" fillId="3" borderId="0" xfId="0" applyFont="1" applyFill="1" applyBorder="1" applyAlignment="1">
      <alignment horizontal="center" wrapText="1"/>
    </xf>
    <xf numFmtId="0" fontId="12" fillId="0" borderId="0" xfId="0" applyFont="1" applyBorder="1" applyAlignment="1">
      <alignment horizontal="center" vertical="top" wrapText="1"/>
    </xf>
    <xf numFmtId="0" fontId="5" fillId="3" borderId="20" xfId="0" applyFont="1" applyFill="1" applyBorder="1" applyAlignment="1">
      <alignment horizontal="center" wrapText="1"/>
    </xf>
    <xf numFmtId="0" fontId="5" fillId="3" borderId="21" xfId="0" applyFont="1" applyFill="1" applyBorder="1" applyAlignment="1">
      <alignment horizontal="center" wrapText="1"/>
    </xf>
    <xf numFmtId="0" fontId="5" fillId="3" borderId="22" xfId="0" applyFont="1" applyFill="1" applyBorder="1" applyAlignment="1">
      <alignment horizontal="center" wrapText="1"/>
    </xf>
    <xf numFmtId="0" fontId="5" fillId="3" borderId="23" xfId="0" applyFont="1" applyFill="1" applyBorder="1" applyAlignment="1">
      <alignment horizontal="center" wrapText="1"/>
    </xf>
    <xf numFmtId="0" fontId="5" fillId="3" borderId="24" xfId="0" applyFont="1" applyFill="1" applyBorder="1" applyAlignment="1">
      <alignment horizontal="center" wrapText="1"/>
    </xf>
    <xf numFmtId="0" fontId="5" fillId="3" borderId="25" xfId="0" applyFont="1" applyFill="1" applyBorder="1" applyAlignment="1">
      <alignment horizontal="center" wrapText="1"/>
    </xf>
    <xf numFmtId="0" fontId="5" fillId="3" borderId="26" xfId="0" applyFont="1" applyFill="1" applyBorder="1" applyAlignment="1">
      <alignment horizontal="center" wrapText="1"/>
    </xf>
    <xf numFmtId="0" fontId="5" fillId="3" borderId="27" xfId="0" applyFont="1" applyFill="1" applyBorder="1" applyAlignment="1">
      <alignment horizontal="center" wrapText="1"/>
    </xf>
    <xf numFmtId="0" fontId="5" fillId="3" borderId="28" xfId="0" applyFont="1" applyFill="1" applyBorder="1" applyAlignment="1">
      <alignment horizontal="center" wrapText="1"/>
    </xf>
    <xf numFmtId="0" fontId="5" fillId="3" borderId="29" xfId="0" applyFont="1" applyFill="1" applyBorder="1" applyAlignment="1">
      <alignment horizontal="center" wrapText="1"/>
    </xf>
    <xf numFmtId="0" fontId="2" fillId="3" borderId="19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3" fillId="3" borderId="19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 wrapText="1"/>
    </xf>
    <xf numFmtId="164" fontId="4" fillId="3" borderId="5" xfId="1" applyNumberFormat="1" applyFont="1" applyFill="1" applyBorder="1" applyAlignment="1">
      <alignment horizontal="center" vertical="center"/>
    </xf>
    <xf numFmtId="164" fontId="4" fillId="3" borderId="6" xfId="1" applyNumberFormat="1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190184</xdr:colOff>
      <xdr:row>1</xdr:row>
      <xdr:rowOff>0</xdr:rowOff>
    </xdr:from>
    <xdr:to>
      <xdr:col>15</xdr:col>
      <xdr:colOff>132810</xdr:colOff>
      <xdr:row>3</xdr:row>
      <xdr:rowOff>80665</xdr:rowOff>
    </xdr:to>
    <xdr:sp macro="" textlink="">
      <xdr:nvSpPr>
        <xdr:cNvPr id="3" name="CaixaDeTexto 9">
          <a:extLst>
            <a:ext uri="{FF2B5EF4-FFF2-40B4-BE49-F238E27FC236}">
              <a16:creationId xmlns:a16="http://schemas.microsoft.com/office/drawing/2014/main" id="{4DA462D2-F03F-7C14-84E9-3999A1C8C212}"/>
            </a:ext>
          </a:extLst>
        </xdr:cNvPr>
        <xdr:cNvSpPr txBox="1"/>
      </xdr:nvSpPr>
      <xdr:spPr>
        <a:xfrm>
          <a:off x="7543484" y="190500"/>
          <a:ext cx="2990626" cy="46166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2400" b="1"/>
            <a:t>Análise Mensal</a:t>
          </a:r>
        </a:p>
      </xdr:txBody>
    </xdr:sp>
    <xdr:clientData/>
  </xdr:twoCellAnchor>
  <xdr:twoCellAnchor editAs="oneCell">
    <xdr:from>
      <xdr:col>5</xdr:col>
      <xdr:colOff>19050</xdr:colOff>
      <xdr:row>0</xdr:row>
      <xdr:rowOff>0</xdr:rowOff>
    </xdr:from>
    <xdr:to>
      <xdr:col>7</xdr:col>
      <xdr:colOff>24173</xdr:colOff>
      <xdr:row>9</xdr:row>
      <xdr:rowOff>133034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035B8CD-6672-F690-E3A8-834C58B98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0" y="0"/>
          <a:ext cx="1862498" cy="1885634"/>
        </a:xfrm>
        <a:prstGeom prst="rect">
          <a:avLst/>
        </a:prstGeom>
      </xdr:spPr>
    </xdr:pic>
    <xdr:clientData/>
  </xdr:twoCellAnchor>
  <xdr:twoCellAnchor>
    <xdr:from>
      <xdr:col>10</xdr:col>
      <xdr:colOff>400050</xdr:colOff>
      <xdr:row>51</xdr:row>
      <xdr:rowOff>81439</xdr:rowOff>
    </xdr:from>
    <xdr:to>
      <xdr:col>12</xdr:col>
      <xdr:colOff>62022</xdr:colOff>
      <xdr:row>52</xdr:row>
      <xdr:rowOff>171450</xdr:rowOff>
    </xdr:to>
    <xdr:sp macro="" textlink="">
      <xdr:nvSpPr>
        <xdr:cNvPr id="18" name="Retângulo: Cantos Arredondados 17">
          <a:extLst>
            <a:ext uri="{FF2B5EF4-FFF2-40B4-BE49-F238E27FC236}">
              <a16:creationId xmlns:a16="http://schemas.microsoft.com/office/drawing/2014/main" id="{862CE009-8376-53E9-A512-589BF6C7B780}"/>
            </a:ext>
          </a:extLst>
        </xdr:cNvPr>
        <xdr:cNvSpPr/>
      </xdr:nvSpPr>
      <xdr:spPr>
        <a:xfrm>
          <a:off x="8505825" y="9958864"/>
          <a:ext cx="1233597" cy="280511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600"/>
            <a:t>Sim, vamos!</a:t>
          </a:r>
        </a:p>
      </xdr:txBody>
    </xdr:sp>
    <xdr:clientData/>
  </xdr:twoCellAnchor>
  <xdr:twoCellAnchor>
    <xdr:from>
      <xdr:col>7</xdr:col>
      <xdr:colOff>685800</xdr:colOff>
      <xdr:row>19</xdr:row>
      <xdr:rowOff>0</xdr:rowOff>
    </xdr:from>
    <xdr:to>
      <xdr:col>9</xdr:col>
      <xdr:colOff>219075</xdr:colOff>
      <xdr:row>23</xdr:row>
      <xdr:rowOff>171450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039B3FFE-3D9C-A481-51AB-85B02BCBBD4E}"/>
            </a:ext>
          </a:extLst>
        </xdr:cNvPr>
        <xdr:cNvSpPr/>
      </xdr:nvSpPr>
      <xdr:spPr>
        <a:xfrm>
          <a:off x="6715125" y="3733800"/>
          <a:ext cx="1114425" cy="94297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800"/>
            <a:t>Exibe % gastos vendas , insumos e margem contribuição</a:t>
          </a:r>
        </a:p>
      </xdr:txBody>
    </xdr:sp>
    <xdr:clientData/>
  </xdr:twoCellAnchor>
  <xdr:twoCellAnchor>
    <xdr:from>
      <xdr:col>5</xdr:col>
      <xdr:colOff>133350</xdr:colOff>
      <xdr:row>33</xdr:row>
      <xdr:rowOff>28575</xdr:rowOff>
    </xdr:from>
    <xdr:to>
      <xdr:col>7</xdr:col>
      <xdr:colOff>9525</xdr:colOff>
      <xdr:row>41</xdr:row>
      <xdr:rowOff>47625</xdr:rowOff>
    </xdr:to>
    <xdr:sp macro="" textlink="">
      <xdr:nvSpPr>
        <xdr:cNvPr id="14" name="Balão de Fala: Retângulo 13">
          <a:extLst>
            <a:ext uri="{FF2B5EF4-FFF2-40B4-BE49-F238E27FC236}">
              <a16:creationId xmlns:a16="http://schemas.microsoft.com/office/drawing/2014/main" id="{3C9BA5BA-0C66-126D-2858-2F5D682D5A4E}"/>
            </a:ext>
          </a:extLst>
        </xdr:cNvPr>
        <xdr:cNvSpPr/>
      </xdr:nvSpPr>
      <xdr:spPr>
        <a:xfrm>
          <a:off x="4305300" y="6467475"/>
          <a:ext cx="1733550" cy="1552575"/>
        </a:xfrm>
        <a:prstGeom prst="wedgeRectCallout">
          <a:avLst>
            <a:gd name="adj1" fmla="val 137959"/>
            <a:gd name="adj2" fmla="val -1908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Se COMÉRCIO: "Compra de mercadorias"</a:t>
          </a:r>
        </a:p>
        <a:p>
          <a:pPr algn="l"/>
          <a:r>
            <a:rPr lang="pt-BR" sz="1100"/>
            <a:t>Se ALIMENTAÇÃO FORA DO LA:R OU INDÚSTRIA: "Custo</a:t>
          </a:r>
          <a:r>
            <a:rPr lang="pt-BR" sz="1100" baseline="0"/>
            <a:t> das compras e produção"</a:t>
          </a:r>
        </a:p>
        <a:p>
          <a:pPr algn="l"/>
          <a:r>
            <a:rPr lang="pt-BR" sz="1100" baseline="0"/>
            <a:t>Se SERVIÇÕS: "Custo das compras e serviços"</a:t>
          </a:r>
          <a:endParaRPr lang="pt-BR" sz="1100"/>
        </a:p>
      </xdr:txBody>
    </xdr:sp>
    <xdr:clientData/>
  </xdr:twoCellAnchor>
  <xdr:twoCellAnchor>
    <xdr:from>
      <xdr:col>14</xdr:col>
      <xdr:colOff>38100</xdr:colOff>
      <xdr:row>37</xdr:row>
      <xdr:rowOff>161925</xdr:rowOff>
    </xdr:from>
    <xdr:to>
      <xdr:col>16</xdr:col>
      <xdr:colOff>323850</xdr:colOff>
      <xdr:row>40</xdr:row>
      <xdr:rowOff>38100</xdr:rowOff>
    </xdr:to>
    <xdr:sp macro="" textlink="">
      <xdr:nvSpPr>
        <xdr:cNvPr id="15" name="Balão de Fala: Retângulo 14">
          <a:extLst>
            <a:ext uri="{FF2B5EF4-FFF2-40B4-BE49-F238E27FC236}">
              <a16:creationId xmlns:a16="http://schemas.microsoft.com/office/drawing/2014/main" id="{A8FDE07A-1223-4530-A382-09CDCDC7D598}"/>
            </a:ext>
          </a:extLst>
        </xdr:cNvPr>
        <xdr:cNvSpPr/>
      </xdr:nvSpPr>
      <xdr:spPr>
        <a:xfrm>
          <a:off x="11049000" y="7372350"/>
          <a:ext cx="1504950" cy="447675"/>
        </a:xfrm>
        <a:prstGeom prst="wedgeRectCallout">
          <a:avLst>
            <a:gd name="adj1" fmla="val -90061"/>
            <a:gd name="adj2" fmla="val 197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Se a margem for &lt;=0 a célula fica vermelha</a:t>
          </a:r>
        </a:p>
      </xdr:txBody>
    </xdr:sp>
    <xdr:clientData/>
  </xdr:twoCellAnchor>
  <xdr:twoCellAnchor>
    <xdr:from>
      <xdr:col>5</xdr:col>
      <xdr:colOff>38100</xdr:colOff>
      <xdr:row>25</xdr:row>
      <xdr:rowOff>76200</xdr:rowOff>
    </xdr:from>
    <xdr:to>
      <xdr:col>6</xdr:col>
      <xdr:colOff>447675</xdr:colOff>
      <xdr:row>31</xdr:row>
      <xdr:rowOff>47625</xdr:rowOff>
    </xdr:to>
    <xdr:sp macro="" textlink="">
      <xdr:nvSpPr>
        <xdr:cNvPr id="5" name="Balão de Fala: Retângulo 4">
          <a:extLst>
            <a:ext uri="{FF2B5EF4-FFF2-40B4-BE49-F238E27FC236}">
              <a16:creationId xmlns:a16="http://schemas.microsoft.com/office/drawing/2014/main" id="{76B1C642-01D9-464E-85EA-0A1C7C7299EB}"/>
            </a:ext>
          </a:extLst>
        </xdr:cNvPr>
        <xdr:cNvSpPr/>
      </xdr:nvSpPr>
      <xdr:spPr>
        <a:xfrm>
          <a:off x="4210050" y="4962525"/>
          <a:ext cx="1733550" cy="1133475"/>
        </a:xfrm>
        <a:prstGeom prst="wedgeRectCallout">
          <a:avLst>
            <a:gd name="adj1" fmla="val 146200"/>
            <a:gd name="adj2" fmla="val 3470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Se ALIMENTAÇÃO FORA DO LAR OU INDÚSTRIA</a:t>
          </a:r>
          <a:r>
            <a:rPr lang="pt-BR" sz="1100" baseline="0"/>
            <a:t> OU</a:t>
          </a:r>
          <a:r>
            <a:rPr lang="pt-BR" sz="1100"/>
            <a:t> </a:t>
          </a:r>
          <a:r>
            <a:rPr lang="pt-BR" sz="1100" baseline="0"/>
            <a:t>SERVIÇÕS: ".... funcionamento da empresa mais a mão de obra direta resultou...""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00F2B-7F9C-402E-B51D-0FD22BF23415}">
  <dimension ref="A5:R61"/>
  <sheetViews>
    <sheetView showGridLines="0" tabSelected="1" workbookViewId="0">
      <selection activeCell="F43" sqref="F43"/>
    </sheetView>
  </sheetViews>
  <sheetFormatPr defaultRowHeight="15" x14ac:dyDescent="0.25"/>
  <cols>
    <col min="1" max="1" width="16.140625" customWidth="1"/>
    <col min="2" max="2" width="15.28515625" customWidth="1"/>
    <col min="3" max="3" width="14" customWidth="1"/>
    <col min="4" max="4" width="8.42578125" customWidth="1"/>
    <col min="5" max="5" width="14" style="1" customWidth="1"/>
    <col min="6" max="6" width="19.85546875" bestFit="1" customWidth="1"/>
    <col min="7" max="7" width="8" customWidth="1"/>
    <col min="8" max="8" width="14.5703125" customWidth="1"/>
    <col min="12" max="12" width="14.42578125" bestFit="1" customWidth="1"/>
  </cols>
  <sheetData>
    <row r="5" spans="1:18" ht="16.5" thickBot="1" x14ac:dyDescent="0.3">
      <c r="H5" s="16" t="s">
        <v>3</v>
      </c>
    </row>
    <row r="6" spans="1:18" ht="16.5" customHeight="1" x14ac:dyDescent="0.25">
      <c r="A6" s="70" t="s">
        <v>0</v>
      </c>
      <c r="B6" s="71"/>
      <c r="C6" s="71"/>
      <c r="D6" s="71"/>
      <c r="E6" s="72"/>
      <c r="H6" s="39" t="s">
        <v>27</v>
      </c>
      <c r="I6" s="39"/>
      <c r="J6" s="39"/>
      <c r="K6" s="39"/>
      <c r="L6" s="39"/>
      <c r="M6" s="39"/>
      <c r="N6" s="39"/>
      <c r="O6" s="39"/>
      <c r="P6" s="39"/>
      <c r="Q6" s="39"/>
      <c r="R6" s="2"/>
    </row>
    <row r="7" spans="1:18" ht="15" customHeight="1" x14ac:dyDescent="0.25">
      <c r="A7" s="73" t="s">
        <v>1</v>
      </c>
      <c r="B7" s="74"/>
      <c r="C7" s="74"/>
      <c r="D7" s="74"/>
      <c r="E7" s="19" t="s">
        <v>4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2"/>
    </row>
    <row r="8" spans="1:18" ht="15" customHeight="1" x14ac:dyDescent="0.25">
      <c r="A8" s="61" t="s">
        <v>6</v>
      </c>
      <c r="B8" s="62"/>
      <c r="C8" s="62"/>
      <c r="D8" s="62"/>
      <c r="E8" s="63"/>
      <c r="H8" s="5"/>
      <c r="I8" s="5"/>
      <c r="J8" s="5"/>
      <c r="K8" s="5"/>
      <c r="L8" s="5"/>
      <c r="M8" s="5"/>
      <c r="N8" s="5"/>
      <c r="O8" s="5"/>
      <c r="P8" s="5"/>
      <c r="Q8" s="5"/>
    </row>
    <row r="9" spans="1:18" ht="15" customHeight="1" x14ac:dyDescent="0.25">
      <c r="A9" s="61"/>
      <c r="B9" s="62"/>
      <c r="C9" s="62"/>
      <c r="D9" s="62"/>
      <c r="E9" s="63"/>
      <c r="H9" s="37" t="s">
        <v>11</v>
      </c>
      <c r="I9" s="37"/>
      <c r="J9" s="37"/>
      <c r="K9" s="37"/>
      <c r="L9" s="37"/>
      <c r="M9" s="37"/>
      <c r="N9" s="37"/>
      <c r="O9" s="37"/>
      <c r="P9" s="37"/>
      <c r="Q9" s="37"/>
    </row>
    <row r="10" spans="1:18" ht="15.75" customHeight="1" x14ac:dyDescent="0.25">
      <c r="A10" s="67" t="s">
        <v>5</v>
      </c>
      <c r="B10" s="68"/>
      <c r="C10" s="68"/>
      <c r="D10" s="68"/>
      <c r="E10" s="20">
        <f>E17-E41</f>
        <v>9112</v>
      </c>
      <c r="H10" s="37"/>
      <c r="I10" s="37"/>
      <c r="J10" s="37"/>
      <c r="K10" s="37"/>
      <c r="L10" s="37"/>
      <c r="M10" s="37"/>
      <c r="N10" s="37"/>
      <c r="O10" s="37"/>
      <c r="P10" s="37"/>
      <c r="Q10" s="37"/>
    </row>
    <row r="11" spans="1:18" ht="15.75" customHeight="1" x14ac:dyDescent="0.25">
      <c r="A11" s="67" t="s">
        <v>23</v>
      </c>
      <c r="B11" s="68"/>
      <c r="C11" s="68"/>
      <c r="D11" s="68"/>
      <c r="E11" s="21">
        <f>E10/E17</f>
        <v>2.6800000000000001E-2</v>
      </c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8" ht="15" customHeight="1" x14ac:dyDescent="0.25">
      <c r="A12" s="64" t="s">
        <v>7</v>
      </c>
      <c r="B12" s="65"/>
      <c r="C12" s="65"/>
      <c r="D12" s="65"/>
      <c r="E12" s="66"/>
      <c r="H12" s="69" t="str">
        <f>IF(OR(E16="",E15=""),"",IF(AND(E15&gt;=E16*98%,E15&lt;E16*102%),"", IF(E15&gt;E16*102%,"É bom saber que a  estrutura disponível permitiria realizar mais vendas sem aumentar os custos de funcionamento da loja.",IF(E15&lt;E16*98%,"Sua vendas superaram a capacidade de atendimento. Isso pode prejudicar a qualidade do atendimento, estressar a equipe e prejudicar a imagem da empresa."))))</f>
        <v>Sua vendas superaram a capacidade de atendimento. Isso pode prejudicar a qualidade do atendimento, estressar a equipe e prejudicar a imagem da empresa.</v>
      </c>
      <c r="I12" s="69"/>
      <c r="J12" s="69"/>
      <c r="K12" s="69"/>
      <c r="L12" s="69"/>
      <c r="M12" s="69"/>
      <c r="N12" s="69"/>
      <c r="O12" s="69"/>
      <c r="P12" s="69"/>
      <c r="Q12" s="69"/>
    </row>
    <row r="13" spans="1:18" ht="15.75" customHeight="1" x14ac:dyDescent="0.25">
      <c r="A13" s="46" t="s">
        <v>8</v>
      </c>
      <c r="B13" s="47"/>
      <c r="C13" s="47"/>
      <c r="D13" s="47"/>
      <c r="E13" s="20">
        <f>E11*100</f>
        <v>2.68</v>
      </c>
      <c r="H13" s="69"/>
      <c r="I13" s="69"/>
      <c r="J13" s="69"/>
      <c r="K13" s="69"/>
      <c r="L13" s="69"/>
      <c r="M13" s="69"/>
      <c r="N13" s="69"/>
      <c r="O13" s="69"/>
      <c r="P13" s="69"/>
      <c r="Q13" s="69"/>
    </row>
    <row r="14" spans="1:18" ht="15.75" customHeight="1" x14ac:dyDescent="0.25">
      <c r="A14" s="46" t="s">
        <v>24</v>
      </c>
      <c r="B14" s="47"/>
      <c r="C14" s="47"/>
      <c r="D14" s="47"/>
      <c r="E14" s="21">
        <v>0.25</v>
      </c>
      <c r="G14" s="4"/>
      <c r="H14" s="11"/>
      <c r="I14" s="11"/>
      <c r="J14" s="11"/>
      <c r="K14" s="11"/>
      <c r="L14" s="11"/>
      <c r="M14" s="11"/>
      <c r="N14" s="11"/>
      <c r="O14" s="11"/>
      <c r="P14" s="11"/>
      <c r="Q14" s="11"/>
    </row>
    <row r="15" spans="1:18" ht="15.75" customHeight="1" x14ac:dyDescent="0.25">
      <c r="A15" s="46" t="s">
        <v>2</v>
      </c>
      <c r="B15" s="47"/>
      <c r="C15" s="47"/>
      <c r="D15" s="47"/>
      <c r="E15" s="23">
        <v>2300</v>
      </c>
      <c r="H15" s="37" t="s">
        <v>25</v>
      </c>
      <c r="I15" s="37"/>
      <c r="J15" s="37"/>
      <c r="K15" s="37"/>
      <c r="L15" s="37"/>
      <c r="M15" s="37"/>
      <c r="N15" s="37"/>
      <c r="O15" s="37"/>
      <c r="P15" s="37"/>
      <c r="Q15" s="37"/>
    </row>
    <row r="16" spans="1:18" ht="15.75" customHeight="1" x14ac:dyDescent="0.25">
      <c r="A16" s="46" t="s">
        <v>9</v>
      </c>
      <c r="B16" s="47"/>
      <c r="C16" s="47"/>
      <c r="D16" s="47"/>
      <c r="E16" s="23">
        <v>2400</v>
      </c>
      <c r="H16" s="37"/>
      <c r="I16" s="37"/>
      <c r="J16" s="37"/>
      <c r="K16" s="37"/>
      <c r="L16" s="37"/>
      <c r="M16" s="37"/>
      <c r="N16" s="37"/>
      <c r="O16" s="37"/>
      <c r="P16" s="37"/>
      <c r="Q16" s="37"/>
    </row>
    <row r="17" spans="1:17" ht="15.75" x14ac:dyDescent="0.25">
      <c r="A17" s="46" t="s">
        <v>10</v>
      </c>
      <c r="B17" s="47"/>
      <c r="C17" s="47"/>
      <c r="D17" s="47"/>
      <c r="E17" s="20">
        <v>340000</v>
      </c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ht="15.75" customHeight="1" x14ac:dyDescent="0.25">
      <c r="A18" s="75" t="s">
        <v>20</v>
      </c>
      <c r="B18" s="76"/>
      <c r="C18" s="76"/>
      <c r="D18" s="76"/>
      <c r="E18" s="20">
        <f>E17/E16</f>
        <v>141.66666666666666</v>
      </c>
      <c r="H18" s="39" t="s">
        <v>45</v>
      </c>
      <c r="I18" s="39"/>
      <c r="J18" s="39"/>
      <c r="K18" s="39"/>
      <c r="L18" s="39"/>
      <c r="M18" s="39"/>
      <c r="N18" s="39"/>
      <c r="O18" s="39"/>
      <c r="P18" s="39"/>
      <c r="Q18" s="39"/>
    </row>
    <row r="19" spans="1:17" ht="15" customHeight="1" x14ac:dyDescent="0.25">
      <c r="A19" s="46" t="s">
        <v>13</v>
      </c>
      <c r="B19" s="47"/>
      <c r="C19" s="47"/>
      <c r="D19" s="47"/>
      <c r="E19" s="20">
        <v>80888</v>
      </c>
      <c r="H19" s="39"/>
      <c r="I19" s="39"/>
      <c r="J19" s="39"/>
      <c r="K19" s="39"/>
      <c r="L19" s="39"/>
      <c r="M19" s="39"/>
      <c r="N19" s="39"/>
      <c r="O19" s="39"/>
      <c r="P19" s="39"/>
      <c r="Q19" s="39"/>
    </row>
    <row r="20" spans="1:17" ht="15" customHeight="1" x14ac:dyDescent="0.25">
      <c r="A20" s="46" t="s">
        <v>12</v>
      </c>
      <c r="B20" s="47"/>
      <c r="C20" s="47"/>
      <c r="D20" s="47"/>
      <c r="E20" s="21">
        <f>E19/E17</f>
        <v>0.23790588235294119</v>
      </c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ht="15" customHeight="1" x14ac:dyDescent="0.25">
      <c r="A21" s="46" t="s">
        <v>19</v>
      </c>
      <c r="B21" s="47"/>
      <c r="C21" s="47"/>
      <c r="D21" s="47"/>
      <c r="E21" s="22">
        <f>E17-E19</f>
        <v>259112</v>
      </c>
      <c r="F21" s="35"/>
      <c r="G21" s="36"/>
      <c r="H21" s="36"/>
      <c r="K21" s="39" t="s">
        <v>29</v>
      </c>
      <c r="L21" s="39"/>
      <c r="M21" s="39"/>
      <c r="N21" s="39"/>
      <c r="O21" s="39"/>
      <c r="P21" s="39"/>
      <c r="Q21" s="39"/>
    </row>
    <row r="22" spans="1:17" ht="15.75" customHeight="1" x14ac:dyDescent="0.25">
      <c r="A22" s="81" t="s">
        <v>44</v>
      </c>
      <c r="B22" s="78"/>
      <c r="C22" s="78"/>
      <c r="D22" s="78"/>
      <c r="E22" s="82"/>
      <c r="F22" s="80"/>
      <c r="G22" s="36"/>
      <c r="H22" s="36"/>
      <c r="I22" s="5"/>
      <c r="J22" s="5"/>
      <c r="K22" s="39"/>
      <c r="L22" s="39"/>
      <c r="M22" s="39"/>
      <c r="N22" s="39"/>
      <c r="O22" s="39"/>
      <c r="P22" s="39"/>
      <c r="Q22" s="39"/>
    </row>
    <row r="23" spans="1:17" ht="15" customHeight="1" x14ac:dyDescent="0.25">
      <c r="A23" s="83"/>
      <c r="B23" s="79"/>
      <c r="C23" s="79"/>
      <c r="D23" s="79"/>
      <c r="E23" s="84"/>
      <c r="H23" s="5"/>
      <c r="I23" s="5"/>
      <c r="J23" s="5"/>
      <c r="K23" s="39"/>
      <c r="L23" s="39"/>
      <c r="M23" s="39"/>
      <c r="N23" s="39"/>
      <c r="O23" s="39"/>
      <c r="P23" s="39"/>
      <c r="Q23" s="39"/>
    </row>
    <row r="24" spans="1:17" ht="15" customHeight="1" x14ac:dyDescent="0.25">
      <c r="A24" s="83"/>
      <c r="B24" s="79"/>
      <c r="C24" s="79"/>
      <c r="D24" s="79"/>
      <c r="E24" s="84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ht="15" customHeight="1" x14ac:dyDescent="0.25">
      <c r="A25" s="83"/>
      <c r="B25" s="79"/>
      <c r="C25" s="79"/>
      <c r="D25" s="79"/>
      <c r="E25" s="84"/>
      <c r="H25" s="37" t="s">
        <v>28</v>
      </c>
      <c r="I25" s="37"/>
      <c r="J25" s="37"/>
      <c r="K25" s="37"/>
      <c r="L25" s="37"/>
      <c r="M25" s="37"/>
      <c r="N25" s="37"/>
      <c r="O25" s="37"/>
      <c r="P25" s="37"/>
      <c r="Q25" s="37"/>
    </row>
    <row r="26" spans="1:17" ht="15.75" customHeight="1" x14ac:dyDescent="0.25">
      <c r="A26" s="83"/>
      <c r="B26" s="79"/>
      <c r="C26" s="79"/>
      <c r="D26" s="79"/>
      <c r="E26" s="84"/>
      <c r="H26" s="37"/>
      <c r="I26" s="37"/>
      <c r="J26" s="37"/>
      <c r="K26" s="37"/>
      <c r="L26" s="37"/>
      <c r="M26" s="37"/>
      <c r="N26" s="37"/>
      <c r="O26" s="37"/>
      <c r="P26" s="37"/>
      <c r="Q26" s="37"/>
    </row>
    <row r="27" spans="1:17" ht="15" customHeight="1" x14ac:dyDescent="0.25">
      <c r="A27" s="85"/>
      <c r="B27" s="86"/>
      <c r="C27" s="86"/>
      <c r="D27" s="86"/>
      <c r="E27" s="87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ht="15" customHeight="1" x14ac:dyDescent="0.25">
      <c r="A28" s="88" t="s">
        <v>14</v>
      </c>
      <c r="B28" s="89"/>
      <c r="C28" s="89"/>
      <c r="D28" s="90"/>
      <c r="E28" s="22">
        <v>200000</v>
      </c>
      <c r="H28" s="37" t="s">
        <v>30</v>
      </c>
      <c r="I28" s="37"/>
      <c r="J28" s="37"/>
      <c r="K28" s="37"/>
      <c r="L28" s="37"/>
      <c r="M28" s="37"/>
      <c r="N28" s="37"/>
      <c r="O28" s="37"/>
      <c r="P28" s="37"/>
      <c r="Q28" s="37"/>
    </row>
    <row r="29" spans="1:17" x14ac:dyDescent="0.25">
      <c r="A29" s="46" t="s">
        <v>15</v>
      </c>
      <c r="B29" s="47"/>
      <c r="C29" s="47"/>
      <c r="D29" s="47"/>
      <c r="E29" s="21">
        <f>E28/E17</f>
        <v>0.58823529411764708</v>
      </c>
      <c r="H29" s="37"/>
      <c r="I29" s="37"/>
      <c r="J29" s="37"/>
      <c r="K29" s="37"/>
      <c r="L29" s="37"/>
      <c r="M29" s="37"/>
      <c r="N29" s="37"/>
      <c r="O29" s="37"/>
      <c r="P29" s="37"/>
      <c r="Q29" s="37"/>
    </row>
    <row r="30" spans="1:17" ht="15.75" customHeight="1" x14ac:dyDescent="0.25">
      <c r="A30" s="44" t="s">
        <v>17</v>
      </c>
      <c r="B30" s="45"/>
      <c r="C30" s="45"/>
      <c r="D30" s="45"/>
      <c r="E30" s="48">
        <f>E17-(E19+E28)</f>
        <v>59112</v>
      </c>
      <c r="I30" s="2"/>
      <c r="J30" s="2"/>
      <c r="K30" s="2"/>
      <c r="L30" s="2"/>
      <c r="M30" s="2"/>
      <c r="N30" s="2"/>
      <c r="O30" s="2"/>
      <c r="P30" s="2"/>
      <c r="Q30" s="2"/>
    </row>
    <row r="31" spans="1:17" ht="15" customHeight="1" x14ac:dyDescent="0.25">
      <c r="A31" s="44"/>
      <c r="B31" s="45"/>
      <c r="C31" s="45"/>
      <c r="D31" s="45"/>
      <c r="E31" s="49"/>
      <c r="H31" s="37" t="s">
        <v>31</v>
      </c>
      <c r="I31" s="37"/>
      <c r="J31" s="37"/>
      <c r="K31" s="37"/>
      <c r="L31" s="37"/>
      <c r="M31" s="37"/>
      <c r="N31" s="37"/>
      <c r="O31" s="37"/>
      <c r="P31" s="37"/>
      <c r="Q31" s="37"/>
    </row>
    <row r="32" spans="1:17" ht="15.75" customHeight="1" x14ac:dyDescent="0.25">
      <c r="A32" s="46" t="s">
        <v>16</v>
      </c>
      <c r="B32" s="47"/>
      <c r="C32" s="47"/>
      <c r="D32" s="47"/>
      <c r="E32" s="21">
        <f>E30/E17</f>
        <v>0.17385882352941176</v>
      </c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ht="15" customHeight="1" x14ac:dyDescent="0.25">
      <c r="A33" s="53" t="s">
        <v>41</v>
      </c>
      <c r="B33" s="54"/>
      <c r="C33" s="54"/>
      <c r="D33" s="54"/>
      <c r="E33" s="24">
        <f>E30/E16</f>
        <v>24.63</v>
      </c>
      <c r="H33" s="37" t="s">
        <v>32</v>
      </c>
      <c r="I33" s="37"/>
      <c r="J33" s="2"/>
      <c r="K33" s="2"/>
      <c r="L33" s="2"/>
      <c r="M33" s="2"/>
      <c r="N33" s="2"/>
      <c r="O33" s="2"/>
      <c r="P33" s="2"/>
      <c r="Q33" s="2"/>
    </row>
    <row r="34" spans="1:17" ht="15" customHeight="1" x14ac:dyDescent="0.25">
      <c r="A34" s="46" t="s">
        <v>18</v>
      </c>
      <c r="B34" s="47"/>
      <c r="C34" s="47"/>
      <c r="D34" s="47"/>
      <c r="E34" s="20">
        <v>50000</v>
      </c>
      <c r="H34" s="2"/>
      <c r="I34" s="2"/>
      <c r="J34" s="38" t="s">
        <v>33</v>
      </c>
      <c r="K34" s="38"/>
      <c r="L34" s="17">
        <f>E17</f>
        <v>340000</v>
      </c>
      <c r="M34" s="27">
        <v>1</v>
      </c>
      <c r="N34" s="2"/>
      <c r="O34" s="2"/>
      <c r="P34" s="2"/>
      <c r="Q34" s="2"/>
    </row>
    <row r="35" spans="1:17" ht="15.75" customHeight="1" x14ac:dyDescent="0.25">
      <c r="A35" s="55" t="s">
        <v>42</v>
      </c>
      <c r="B35" s="56"/>
      <c r="C35" s="56"/>
      <c r="D35" s="56"/>
      <c r="E35" s="25">
        <f>E34/E33</f>
        <v>2030.0446609825417</v>
      </c>
      <c r="J35" s="38" t="s">
        <v>34</v>
      </c>
      <c r="K35" s="38"/>
      <c r="L35" s="18">
        <f>E19</f>
        <v>80888</v>
      </c>
      <c r="M35" s="28">
        <f>L35/$L$34</f>
        <v>0.23790588235294119</v>
      </c>
      <c r="O35" s="29"/>
      <c r="P35" s="29"/>
      <c r="Q35" s="29"/>
    </row>
    <row r="36" spans="1:17" ht="15" customHeight="1" x14ac:dyDescent="0.25">
      <c r="A36" s="44" t="s">
        <v>26</v>
      </c>
      <c r="B36" s="45"/>
      <c r="C36" s="45"/>
      <c r="D36" s="45"/>
      <c r="E36" s="26">
        <f>IF(E35="","",E35*E18)</f>
        <v>287589.66030586004</v>
      </c>
      <c r="G36" s="6"/>
      <c r="I36" s="2"/>
      <c r="J36" s="38" t="s">
        <v>43</v>
      </c>
      <c r="K36" s="38"/>
      <c r="L36" s="17">
        <f>E28</f>
        <v>200000</v>
      </c>
      <c r="M36" s="28">
        <f t="shared" ref="M36:M40" si="0">L36/$L$34</f>
        <v>0.58823529411764708</v>
      </c>
      <c r="N36" s="2"/>
      <c r="O36" s="29"/>
      <c r="P36" s="29"/>
      <c r="Q36" s="29"/>
    </row>
    <row r="37" spans="1:17" ht="15" customHeight="1" x14ac:dyDescent="0.25">
      <c r="A37" s="93" t="s">
        <v>46</v>
      </c>
      <c r="B37" s="91" t="s">
        <v>48</v>
      </c>
      <c r="C37" s="91"/>
      <c r="D37" s="91"/>
      <c r="E37" s="95">
        <f>E17/E34</f>
        <v>6.8</v>
      </c>
      <c r="F37" s="10"/>
      <c r="H37" s="2"/>
      <c r="I37" s="2"/>
      <c r="J37" s="38" t="s">
        <v>35</v>
      </c>
      <c r="K37" s="38"/>
      <c r="L37" s="17">
        <f>L35+L36</f>
        <v>280888</v>
      </c>
      <c r="M37" s="28">
        <f t="shared" si="0"/>
        <v>0.82614117647058827</v>
      </c>
      <c r="N37" s="2"/>
      <c r="O37" s="29"/>
      <c r="P37" s="29"/>
      <c r="Q37" s="29"/>
    </row>
    <row r="38" spans="1:17" ht="15" customHeight="1" x14ac:dyDescent="0.25">
      <c r="A38" s="94" t="s">
        <v>47</v>
      </c>
      <c r="B38" s="92" t="s">
        <v>49</v>
      </c>
      <c r="C38" s="92"/>
      <c r="D38" s="92"/>
      <c r="E38" s="96"/>
      <c r="H38" s="2"/>
      <c r="I38" s="2"/>
      <c r="J38" s="38" t="s">
        <v>36</v>
      </c>
      <c r="K38" s="38"/>
      <c r="L38" s="17">
        <f>E34</f>
        <v>50000</v>
      </c>
      <c r="M38" s="28">
        <f t="shared" si="0"/>
        <v>0.14705882352941177</v>
      </c>
      <c r="N38" s="2"/>
      <c r="O38" s="2"/>
      <c r="P38" s="2"/>
      <c r="Q38" s="2"/>
    </row>
    <row r="39" spans="1:17" ht="15" customHeight="1" thickBot="1" x14ac:dyDescent="0.3">
      <c r="A39" s="40" t="s">
        <v>21</v>
      </c>
      <c r="B39" s="41"/>
      <c r="C39" s="41"/>
      <c r="D39" s="41"/>
      <c r="E39" s="42">
        <f>(E17-E36)/E17</f>
        <v>0.15414805792394104</v>
      </c>
      <c r="H39" s="2"/>
      <c r="I39" s="2"/>
      <c r="J39" s="50" t="s">
        <v>37</v>
      </c>
      <c r="K39" s="50"/>
      <c r="L39" s="31">
        <f>E41</f>
        <v>330888</v>
      </c>
      <c r="M39" s="32">
        <f t="shared" si="0"/>
        <v>0.97319999999999995</v>
      </c>
      <c r="N39" s="2"/>
      <c r="O39" s="2"/>
      <c r="P39" s="2"/>
      <c r="Q39" s="2"/>
    </row>
    <row r="40" spans="1:17" ht="15" customHeight="1" thickBot="1" x14ac:dyDescent="0.3">
      <c r="A40" s="40"/>
      <c r="B40" s="41"/>
      <c r="C40" s="41"/>
      <c r="D40" s="41"/>
      <c r="E40" s="42"/>
      <c r="J40" s="51" t="s">
        <v>38</v>
      </c>
      <c r="K40" s="52"/>
      <c r="L40" s="33">
        <f>E10</f>
        <v>9112</v>
      </c>
      <c r="M40" s="34">
        <f t="shared" si="0"/>
        <v>2.6800000000000001E-2</v>
      </c>
    </row>
    <row r="41" spans="1:17" ht="15" customHeight="1" x14ac:dyDescent="0.25">
      <c r="A41" s="55" t="s">
        <v>22</v>
      </c>
      <c r="B41" s="56"/>
      <c r="C41" s="56"/>
      <c r="D41" s="56"/>
      <c r="E41" s="59">
        <f>E19+E28+E34</f>
        <v>330888</v>
      </c>
      <c r="J41" s="12"/>
      <c r="K41" s="12"/>
      <c r="L41" s="13"/>
    </row>
    <row r="42" spans="1:17" ht="15" customHeight="1" thickBot="1" x14ac:dyDescent="0.3">
      <c r="A42" s="57"/>
      <c r="B42" s="58"/>
      <c r="C42" s="58"/>
      <c r="D42" s="58"/>
      <c r="E42" s="60"/>
      <c r="F42" s="4"/>
      <c r="H42" s="43" t="str">
        <f>IF(E39&lt;=0,"Nossa meta prioritária é sair do prejuízo e alcançar segurança operacional!","A margem de segurança foi de (F%).")</f>
        <v>A margem de segurança foi de (F%).</v>
      </c>
      <c r="I42" s="43"/>
      <c r="J42" s="43"/>
      <c r="K42" s="43"/>
      <c r="L42" s="43"/>
      <c r="M42" s="43"/>
      <c r="N42" s="43"/>
      <c r="O42" s="43"/>
      <c r="P42" s="43"/>
      <c r="Q42" s="43"/>
    </row>
    <row r="43" spans="1:17" x14ac:dyDescent="0.25">
      <c r="H43" s="37" t="str">
        <f>IF(E39&lt;=0,"",IF(AND(E39&gt;0,E39&lt;=10%),"O que significa que uma eventual pequena redução nas vendas poderá levar a empresa ao pejuízo.",IF(AND(E39&gt;10%,E39&lt;=25%),"O que significa que o negócio tem alguma proteção contra reduções nas vendas, porém, é preciso fortalecer os resultados.",IF(AND(E39&gt;25%,E39&lt;=40%),"O que significa que existe reserva de faturamento para proteger a empresa contra eventuais quedas nas vendas.",IF(E39&gt;45%,"O que significa que a empresa apresenta uma posição bastante confortável, com boa capacidade para suportar quedas nas vendas sem comprometer o resultado.")))))</f>
        <v>O que significa que o negócio tem alguma proteção contra reduções nas vendas, porém, é preciso fortalecer os resultados.</v>
      </c>
      <c r="I43" s="37"/>
      <c r="J43" s="37"/>
      <c r="K43" s="37"/>
      <c r="L43" s="37"/>
      <c r="M43" s="37"/>
      <c r="N43" s="37"/>
      <c r="O43" s="37"/>
      <c r="P43" s="37"/>
      <c r="Q43" s="37"/>
    </row>
    <row r="44" spans="1:17" ht="15" customHeight="1" x14ac:dyDescent="0.25">
      <c r="H44" s="37"/>
      <c r="I44" s="37"/>
      <c r="J44" s="37"/>
      <c r="K44" s="37"/>
      <c r="L44" s="37"/>
      <c r="M44" s="37"/>
      <c r="N44" s="37"/>
      <c r="O44" s="37"/>
      <c r="P44" s="37"/>
      <c r="Q44" s="37"/>
    </row>
    <row r="45" spans="1:17" x14ac:dyDescent="0.25">
      <c r="F45" s="4"/>
    </row>
    <row r="46" spans="1:17" ht="15" customHeight="1" x14ac:dyDescent="0.25">
      <c r="H46" s="39" t="str">
        <f>IF(OR(E11="",E14=""),"",IF(E11&gt;=E14*105%,"Manoel, você tem motivo para comemorar! Os números mostram que sua loja está no caminho certo!",IF(AND(E11&gt;=E14*95%,E11&lt;E14*105%),"Manoel, você deve estar satisfeito com o resultado alcançado. Com alguns ajustes será possível conseguir mais!",IF(AND(E11&gt;0,E11&lt;E14*95%),"Manoel,  resultado ficou abaixo do que você gostaria. Vamos ajustar isso juntos!",IF(E11&lt;=0,"Manoel, é natural que esteja preocupado! A boa notícia é que esse resultado pode ser ajustado, e vamos trabalhar juntos para melhorar isso!")))))</f>
        <v>Manoel,  resultado ficou abaixo do que você gostaria. Vamos ajustar isso juntos!</v>
      </c>
      <c r="I46" s="39"/>
      <c r="J46" s="39"/>
      <c r="K46" s="39"/>
      <c r="L46" s="39"/>
      <c r="M46" s="39"/>
      <c r="N46" s="39"/>
      <c r="O46" s="39"/>
      <c r="P46" s="39"/>
      <c r="Q46" s="39"/>
    </row>
    <row r="47" spans="1:17" x14ac:dyDescent="0.25">
      <c r="H47" s="39"/>
      <c r="I47" s="39"/>
      <c r="J47" s="39"/>
      <c r="K47" s="39"/>
      <c r="L47" s="39"/>
      <c r="M47" s="39"/>
      <c r="N47" s="39"/>
      <c r="O47" s="39"/>
      <c r="P47" s="39"/>
      <c r="Q47" s="39"/>
    </row>
    <row r="48" spans="1:17" ht="15" customHeight="1" x14ac:dyDescent="0.25">
      <c r="F48" s="4"/>
      <c r="H48" s="39" t="s">
        <v>39</v>
      </c>
      <c r="I48" s="39"/>
      <c r="J48" s="39"/>
      <c r="K48" s="39"/>
      <c r="L48" s="39"/>
      <c r="M48" s="39"/>
      <c r="N48" s="39"/>
      <c r="O48" s="39"/>
      <c r="P48" s="39"/>
      <c r="Q48" s="39"/>
    </row>
    <row r="49" spans="6:17" x14ac:dyDescent="0.25">
      <c r="F49" s="4"/>
      <c r="G49" s="8"/>
      <c r="H49" s="39"/>
      <c r="I49" s="39"/>
      <c r="J49" s="39"/>
      <c r="K49" s="39"/>
      <c r="L49" s="39"/>
      <c r="M49" s="39"/>
      <c r="N49" s="39"/>
      <c r="O49" s="39"/>
      <c r="P49" s="39"/>
      <c r="Q49" s="39"/>
    </row>
    <row r="50" spans="6:17" ht="15" customHeight="1" x14ac:dyDescent="0.25">
      <c r="F50" s="14"/>
      <c r="G50" s="9"/>
    </row>
    <row r="51" spans="6:17" ht="15" customHeight="1" x14ac:dyDescent="0.3">
      <c r="F51" s="4"/>
      <c r="H51" s="77" t="s">
        <v>40</v>
      </c>
      <c r="I51" s="77"/>
    </row>
    <row r="52" spans="6:17" ht="15" customHeight="1" x14ac:dyDescent="0.25">
      <c r="F52" s="4"/>
    </row>
    <row r="53" spans="6:17" ht="15" customHeight="1" x14ac:dyDescent="0.25">
      <c r="F53" s="4"/>
    </row>
    <row r="54" spans="6:17" ht="15" customHeight="1" x14ac:dyDescent="0.25">
      <c r="F54" s="15"/>
    </row>
    <row r="55" spans="6:17" x14ac:dyDescent="0.25">
      <c r="F55" s="4"/>
    </row>
    <row r="56" spans="6:17" x14ac:dyDescent="0.25">
      <c r="F56" s="4"/>
    </row>
    <row r="57" spans="6:17" x14ac:dyDescent="0.25">
      <c r="F57" s="4"/>
    </row>
    <row r="58" spans="6:17" x14ac:dyDescent="0.25">
      <c r="F58" s="7"/>
    </row>
    <row r="61" spans="6:17" x14ac:dyDescent="0.25">
      <c r="J61" s="30"/>
    </row>
  </sheetData>
  <mergeCells count="55">
    <mergeCell ref="A18:D18"/>
    <mergeCell ref="A13:D13"/>
    <mergeCell ref="H51:I51"/>
    <mergeCell ref="A22:E27"/>
    <mergeCell ref="A28:D28"/>
    <mergeCell ref="B37:D37"/>
    <mergeCell ref="B38:D38"/>
    <mergeCell ref="E37:E38"/>
    <mergeCell ref="A8:E9"/>
    <mergeCell ref="A12:E12"/>
    <mergeCell ref="A14:D14"/>
    <mergeCell ref="H6:Q7"/>
    <mergeCell ref="A16:D16"/>
    <mergeCell ref="A11:D11"/>
    <mergeCell ref="A10:D10"/>
    <mergeCell ref="H18:Q19"/>
    <mergeCell ref="H9:Q10"/>
    <mergeCell ref="H12:Q13"/>
    <mergeCell ref="H15:Q16"/>
    <mergeCell ref="A6:E6"/>
    <mergeCell ref="A7:D7"/>
    <mergeCell ref="A15:D15"/>
    <mergeCell ref="A17:D17"/>
    <mergeCell ref="J36:K36"/>
    <mergeCell ref="J37:K37"/>
    <mergeCell ref="J38:K38"/>
    <mergeCell ref="J39:K39"/>
    <mergeCell ref="J40:K40"/>
    <mergeCell ref="E30:E31"/>
    <mergeCell ref="A19:D19"/>
    <mergeCell ref="A36:D36"/>
    <mergeCell ref="K21:Q23"/>
    <mergeCell ref="H25:Q26"/>
    <mergeCell ref="H28:Q29"/>
    <mergeCell ref="A34:D34"/>
    <mergeCell ref="A33:D33"/>
    <mergeCell ref="A35:D35"/>
    <mergeCell ref="A20:D20"/>
    <mergeCell ref="A21:D21"/>
    <mergeCell ref="A29:D29"/>
    <mergeCell ref="A32:D32"/>
    <mergeCell ref="A30:D31"/>
    <mergeCell ref="H46:Q47"/>
    <mergeCell ref="H48:Q49"/>
    <mergeCell ref="A39:D40"/>
    <mergeCell ref="E39:E40"/>
    <mergeCell ref="H42:Q42"/>
    <mergeCell ref="H43:Q44"/>
    <mergeCell ref="A41:D42"/>
    <mergeCell ref="E41:E42"/>
    <mergeCell ref="F21:H22"/>
    <mergeCell ref="H31:Q31"/>
    <mergeCell ref="H33:I33"/>
    <mergeCell ref="J34:K34"/>
    <mergeCell ref="J35:K3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Antonio Pereira Garcia</dc:creator>
  <cp:lastModifiedBy>Carlos Antonio Pereira Garcia</cp:lastModifiedBy>
  <dcterms:created xsi:type="dcterms:W3CDTF">2026-06-14T14:38:17Z</dcterms:created>
  <dcterms:modified xsi:type="dcterms:W3CDTF">2026-06-17T19:18:43Z</dcterms:modified>
</cp:coreProperties>
</file>