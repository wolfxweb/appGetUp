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a\Desktop\"/>
    </mc:Choice>
  </mc:AlternateContent>
  <xr:revisionPtr revIDLastSave="0" documentId="8_{0AA66FF9-BE9C-4147-8844-682BDDA84CEC}" xr6:coauthVersionLast="47" xr6:coauthVersionMax="47" xr10:uidLastSave="{00000000-0000-0000-0000-000000000000}"/>
  <bookViews>
    <workbookView xWindow="-120" yWindow="-120" windowWidth="20730" windowHeight="11160" activeTab="3" xr2:uid="{BA3BA29F-9E34-4435-968F-004F7E80FDB0}"/>
  </bookViews>
  <sheets>
    <sheet name="ANÁLISE MENSAL" sheetId="1" r:id="rId1"/>
    <sheet name="GASTOS COM VENDAS" sheetId="2" r:id="rId2"/>
    <sheet name="CUSTOS FIXOS" sheetId="3" r:id="rId3"/>
    <sheet name="INCONSISTÊNCIA NO CAIX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0" i="1" l="1"/>
  <c r="H36" i="1"/>
  <c r="N51" i="2"/>
  <c r="J44" i="3"/>
  <c r="H31" i="1"/>
  <c r="H53" i="1"/>
  <c r="H47" i="1"/>
  <c r="H40" i="1"/>
  <c r="H44" i="1"/>
  <c r="H42" i="1"/>
  <c r="H26" i="1"/>
  <c r="H22" i="1"/>
  <c r="H17" i="1"/>
  <c r="E11" i="1"/>
  <c r="M51" i="2"/>
  <c r="I44" i="3"/>
  <c r="E26" i="1"/>
  <c r="E16" i="1"/>
  <c r="E20" i="1"/>
  <c r="E14" i="1"/>
  <c r="E15" i="1"/>
  <c r="E35" i="1" l="1"/>
  <c r="E25" i="1"/>
  <c r="E22" i="1"/>
  <c r="E24" i="1" s="1"/>
  <c r="E21" i="1"/>
  <c r="E41" i="1"/>
  <c r="E17" i="1"/>
  <c r="E18" i="1"/>
  <c r="E28" i="1" l="1"/>
  <c r="E30" i="1"/>
  <c r="E31" i="1" s="1"/>
  <c r="E42" i="1"/>
</calcChain>
</file>

<file path=xl/sharedStrings.xml><?xml version="1.0" encoding="utf-8"?>
<sst xmlns="http://schemas.openxmlformats.org/spreadsheetml/2006/main" count="140" uniqueCount="135">
  <si>
    <t>Análise mensal</t>
  </si>
  <si>
    <t>Quanto a loja faturou com as vendas?</t>
  </si>
  <si>
    <t>BANCO DE DADOS SUCCESSWAY</t>
  </si>
  <si>
    <r>
      <rPr>
        <b/>
        <sz val="11"/>
        <color rgb="FFC00000"/>
        <rFont val="Calibri"/>
        <family val="2"/>
        <scheme val="minor"/>
      </rPr>
      <t>(R$B)</t>
    </r>
    <r>
      <rPr>
        <sz val="10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Ticket médio</t>
    </r>
    <r>
      <rPr>
        <sz val="10"/>
        <color theme="1"/>
        <rFont val="Calibri"/>
        <family val="2"/>
        <scheme val="minor"/>
      </rPr>
      <t xml:space="preserve"> = </t>
    </r>
    <r>
      <rPr>
        <b/>
        <sz val="10"/>
        <color theme="1"/>
        <rFont val="Calibri"/>
        <family val="2"/>
        <scheme val="minor"/>
      </rPr>
      <t>Faturamento/Quant.clientes</t>
    </r>
    <r>
      <rPr>
        <sz val="10"/>
        <color theme="1"/>
        <rFont val="Calibri"/>
        <family val="2"/>
        <scheme val="minor"/>
      </rPr>
      <t xml:space="preserve"> </t>
    </r>
  </si>
  <si>
    <t>Faturamento</t>
  </si>
  <si>
    <t>Gastos com vendas</t>
  </si>
  <si>
    <t>Gastos com vendas/Faturamento</t>
  </si>
  <si>
    <t>Para quantos clientes a loja vendeu em (A)?</t>
  </si>
  <si>
    <t>Qual foi o custo de funcionamento e administração da loja?</t>
  </si>
  <si>
    <t>Para começar, me conta:</t>
  </si>
  <si>
    <t>Vamos ver o que os números revelam!</t>
  </si>
  <si>
    <t>Aproximadamente quanto custaram as mercadorias vendidas no mês?</t>
  </si>
  <si>
    <r>
      <rPr>
        <b/>
        <sz val="11"/>
        <color theme="1"/>
        <rFont val="Calibri"/>
        <family val="2"/>
        <scheme val="minor"/>
      </rPr>
      <t>Custos variáveis =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C. das vendas + C. das mercad</t>
    </r>
  </si>
  <si>
    <t>Custos variáveis/Faturamento</t>
  </si>
  <si>
    <t>Aproximadamente quanto representam os gastos com vendas?</t>
  </si>
  <si>
    <r>
      <rPr>
        <b/>
        <sz val="11"/>
        <color rgb="FFC00000"/>
        <rFont val="Calibri"/>
        <family val="2"/>
        <scheme val="minor"/>
      </rPr>
      <t>(R$C)</t>
    </r>
    <r>
      <rPr>
        <b/>
        <sz val="11"/>
        <color theme="1"/>
        <rFont val="Calibri"/>
        <family val="2"/>
        <scheme val="minor"/>
      </rPr>
      <t xml:space="preserve">= </t>
    </r>
    <r>
      <rPr>
        <b/>
        <sz val="10"/>
        <color theme="1"/>
        <rFont val="Calibri"/>
        <family val="2"/>
        <scheme val="minor"/>
      </rPr>
      <t>Faturamento - Gastos com vendas</t>
    </r>
  </si>
  <si>
    <t>Custo das mercadorias</t>
  </si>
  <si>
    <t>Custo das mercadorias/Faturamento</t>
  </si>
  <si>
    <r>
      <rPr>
        <b/>
        <sz val="11"/>
        <color rgb="FFC00000"/>
        <rFont val="Calibri"/>
        <family val="2"/>
        <scheme val="minor"/>
      </rPr>
      <t>(R$D)</t>
    </r>
    <r>
      <rPr>
        <b/>
        <sz val="10"/>
        <color theme="1"/>
        <rFont val="Calibri"/>
        <family val="2"/>
        <scheme val="minor"/>
      </rPr>
      <t xml:space="preserve"> = Marg. Bruta = Fat.-(Gastos vendas+C. mercadorias)</t>
    </r>
  </si>
  <si>
    <t>Custo de funcionamento da loja = Custos fixos</t>
  </si>
  <si>
    <r>
      <rPr>
        <b/>
        <sz val="11"/>
        <color rgb="FFC00000"/>
        <rFont val="Calibri"/>
        <family val="2"/>
        <scheme val="minor"/>
      </rPr>
      <t>(R$G)</t>
    </r>
    <r>
      <rPr>
        <b/>
        <sz val="10"/>
        <color theme="1"/>
        <rFont val="Calibri"/>
        <family val="2"/>
        <scheme val="minor"/>
      </rPr>
      <t xml:space="preserve"> = Custo total = Gastos com vendas + custo das mercadorias + custos fixos</t>
    </r>
  </si>
  <si>
    <r>
      <rPr>
        <b/>
        <sz val="11"/>
        <color rgb="FFC00000"/>
        <rFont val="Calibri"/>
        <family val="2"/>
        <scheme val="minor"/>
      </rPr>
      <t>(R$H)</t>
    </r>
    <r>
      <rPr>
        <sz val="11"/>
        <color theme="1"/>
        <rFont val="Calibri"/>
        <family val="2"/>
        <scheme val="minor"/>
      </rPr>
      <t xml:space="preserve"> =</t>
    </r>
    <r>
      <rPr>
        <b/>
        <sz val="10"/>
        <color theme="1"/>
        <rFont val="Calibri"/>
        <family val="2"/>
        <scheme val="minor"/>
      </rPr>
      <t xml:space="preserve"> Margem = Faturamento - Custo total</t>
    </r>
  </si>
  <si>
    <r>
      <rPr>
        <b/>
        <sz val="11"/>
        <color rgb="FFC00000"/>
        <rFont val="Calibri"/>
        <family val="2"/>
        <scheme val="minor"/>
      </rPr>
      <t>(H%)</t>
    </r>
    <r>
      <rPr>
        <sz val="11"/>
        <color theme="1"/>
        <rFont val="Calibri"/>
        <family val="2"/>
        <scheme val="minor"/>
      </rPr>
      <t xml:space="preserve"> = </t>
    </r>
    <r>
      <rPr>
        <b/>
        <sz val="10"/>
        <color theme="1"/>
        <rFont val="Calibri"/>
        <family val="2"/>
        <scheme val="minor"/>
      </rPr>
      <t>%margem = R$Margem/Faturamento</t>
    </r>
  </si>
  <si>
    <t>Capacidade de atendimento (informado no cadastro)</t>
  </si>
  <si>
    <t>%de lucro ideal (informado no cadastro)</t>
  </si>
  <si>
    <r>
      <t xml:space="preserve">Impostos que incidem sobre o faturamento </t>
    </r>
    <r>
      <rPr>
        <b/>
        <sz val="9"/>
        <color theme="1"/>
        <rFont val="Calibri"/>
        <family val="2"/>
        <scheme val="minor"/>
      </rPr>
      <t>(IRPJ/CSLL, ICMS, ISS, PIS/COFINS,DAS)</t>
    </r>
  </si>
  <si>
    <r>
      <t>Taxas bancárias (</t>
    </r>
    <r>
      <rPr>
        <b/>
        <sz val="9"/>
        <color theme="1"/>
        <rFont val="Calibri"/>
        <family val="2"/>
        <scheme val="minor"/>
      </rPr>
      <t>cartões de crédito/débito, boletos, Pix, gateways</t>
    </r>
    <r>
      <rPr>
        <b/>
        <sz val="11"/>
        <color theme="1"/>
        <rFont val="Calibri"/>
        <family val="2"/>
        <scheme val="minor"/>
      </rPr>
      <t>)</t>
    </r>
  </si>
  <si>
    <t>Taxas de marketplaces</t>
  </si>
  <si>
    <t>Seguro de carga</t>
  </si>
  <si>
    <t>Embalagens</t>
  </si>
  <si>
    <t>Custo das entregas</t>
  </si>
  <si>
    <r>
      <t xml:space="preserve">Perdas </t>
    </r>
    <r>
      <rPr>
        <b/>
        <sz val="9"/>
        <color theme="1"/>
        <rFont val="Calibri"/>
        <family val="2"/>
        <scheme val="minor"/>
      </rPr>
      <t>(no estoque, estravios, devoluções, roubo)</t>
    </r>
  </si>
  <si>
    <t>Comissões, prêmios</t>
  </si>
  <si>
    <t>Descontos, cupons</t>
  </si>
  <si>
    <r>
      <t xml:space="preserve">Logística reversa </t>
    </r>
    <r>
      <rPr>
        <b/>
        <sz val="9"/>
        <color theme="1"/>
        <rFont val="Calibri"/>
        <family val="2"/>
        <scheme val="minor"/>
      </rPr>
      <t>(frete de devolução, reparo, mão de obra,desvalorização do produto)</t>
    </r>
  </si>
  <si>
    <t>Antecipação de recebíveis</t>
  </si>
  <si>
    <t xml:space="preserve">GASTOS COM VENDAS </t>
  </si>
  <si>
    <t>Mês de referência</t>
  </si>
  <si>
    <t>Condomínio</t>
  </si>
  <si>
    <t>IPTU</t>
  </si>
  <si>
    <t>Fundo de marketing (se for valor fixo)</t>
  </si>
  <si>
    <t xml:space="preserve">Aluguel </t>
  </si>
  <si>
    <r>
      <t xml:space="preserve">Aluguel </t>
    </r>
    <r>
      <rPr>
        <b/>
        <sz val="9"/>
        <color theme="1"/>
        <rFont val="Calibri"/>
        <family val="2"/>
        <scheme val="minor"/>
      </rPr>
      <t>(se for % sobre o faturamento)</t>
    </r>
  </si>
  <si>
    <r>
      <t xml:space="preserve">Fundo de marketing </t>
    </r>
    <r>
      <rPr>
        <b/>
        <sz val="9"/>
        <color theme="1"/>
        <rFont val="Calibri"/>
        <family val="2"/>
        <scheme val="minor"/>
      </rPr>
      <t>(se for % sobre o faturamento)</t>
    </r>
  </si>
  <si>
    <r>
      <t xml:space="preserve">Taxa de administração </t>
    </r>
    <r>
      <rPr>
        <b/>
        <sz val="9"/>
        <color theme="1"/>
        <rFont val="Calibri"/>
        <family val="2"/>
        <scheme val="minor"/>
      </rPr>
      <t>(se for %)</t>
    </r>
  </si>
  <si>
    <t>Estacionamento (se for valor fixo)</t>
  </si>
  <si>
    <r>
      <t xml:space="preserve">Estacionamento </t>
    </r>
    <r>
      <rPr>
        <b/>
        <sz val="9"/>
        <color theme="1"/>
        <rFont val="Calibri"/>
        <family val="2"/>
        <scheme val="minor"/>
      </rPr>
      <t>(se for valor por ocupação)</t>
    </r>
  </si>
  <si>
    <r>
      <t xml:space="preserve">Taxa de administração </t>
    </r>
    <r>
      <rPr>
        <sz val="9"/>
        <color theme="1"/>
        <rFont val="Calibri"/>
        <family val="2"/>
        <scheme val="minor"/>
      </rPr>
      <t>(se for valor fixo)</t>
    </r>
  </si>
  <si>
    <t>Taxa fixa das leitoras de cartões</t>
  </si>
  <si>
    <t>Tarifas bancárias fixas</t>
  </si>
  <si>
    <t>Pró-labore (retirada mensal)</t>
  </si>
  <si>
    <t>Salários + encargos + benefícios + provisões</t>
  </si>
  <si>
    <t>Contabilidade</t>
  </si>
  <si>
    <t>Seguros</t>
  </si>
  <si>
    <t>Amortização de empréstimos</t>
  </si>
  <si>
    <t>Jurídico</t>
  </si>
  <si>
    <t>Consultorias</t>
  </si>
  <si>
    <t>Propaganda e Marketing</t>
  </si>
  <si>
    <t>Internet</t>
  </si>
  <si>
    <t>Telefones</t>
  </si>
  <si>
    <t>Energia elétrica</t>
  </si>
  <si>
    <t>Manutenções</t>
  </si>
  <si>
    <t>Água</t>
  </si>
  <si>
    <t>Gás</t>
  </si>
  <si>
    <t>Materiais de higiene e limpeza</t>
  </si>
  <si>
    <t>TV a cabo</t>
  </si>
  <si>
    <t>Informática (suporte, softwares/licenças, hospedagens)</t>
  </si>
  <si>
    <t>Materiais de escritório</t>
  </si>
  <si>
    <t>Copa</t>
  </si>
  <si>
    <t>TOTAL DOS CUSTOS FIXOS</t>
  </si>
  <si>
    <t>CUSTOS DE FUNCIONAMENTO DA LOJA</t>
  </si>
  <si>
    <r>
      <rPr>
        <sz val="11"/>
        <rFont val="Calibri"/>
        <family val="2"/>
        <scheme val="minor"/>
      </rPr>
      <t>Com</t>
    </r>
    <r>
      <rPr>
        <b/>
        <sz val="11"/>
        <rFont val="Calibri"/>
        <family val="2"/>
        <scheme val="minor"/>
      </rPr>
      <t xml:space="preserve"> apenas 5 informações simples </t>
    </r>
    <r>
      <rPr>
        <sz val="11"/>
        <rFont val="Calibri"/>
        <family val="2"/>
        <scheme val="minor"/>
      </rPr>
      <t xml:space="preserve">já podemos começar a entender como sua loja está funcionado. </t>
    </r>
  </si>
  <si>
    <t>Eduardo: Esta tela substitui (engloba) as telas "Dados Básicos e Diagnóstico". A ideia é que o usuário, que não gosta de formulários, já se "beneficie" de alguma análise/comentário para se sentir motivado. Os dados alimentam o banco de dados para consultas futuras (Histórico) e dashboard.</t>
  </si>
  <si>
    <t>Corresponde</t>
  </si>
  <si>
    <t>Não corresponde</t>
  </si>
  <si>
    <t>x</t>
  </si>
  <si>
    <t>Para que o resultado do negócio fique claro, o valor calculado precisa estar próximo do dinheiro que realmente ficou disponível no caixa.</t>
  </si>
  <si>
    <t>Vamos ver o que pode estar acontecendo no seu caso.</t>
  </si>
  <si>
    <t>Em relação ao valor que você apurou no caixa, o resultado calculado está:</t>
  </si>
  <si>
    <t>Maior do que o valor real</t>
  </si>
  <si>
    <t>Menor que o valor real</t>
  </si>
  <si>
    <t>O que pode explicar essa diferença?</t>
  </si>
  <si>
    <t>Parte do dinheiro recebido neste mês é relativo a vendas realizadas anteriormente.</t>
  </si>
  <si>
    <t>Pagamentos não realizados.</t>
  </si>
  <si>
    <t>Neste caso, os respectivos valores não devem ser considerados como resultado do mês.</t>
  </si>
  <si>
    <t>O que pode ter ocorrido neste mês?</t>
  </si>
  <si>
    <t>Algumas despesa não consideradas.</t>
  </si>
  <si>
    <t>Pequenas despesas não registradas, podem surpreender.</t>
  </si>
  <si>
    <t>Parte das vendas podem estar por vencer (vendas parceladas).</t>
  </si>
  <si>
    <t xml:space="preserve"> Vendas com valores ainda por vencer</t>
  </si>
  <si>
    <t xml:space="preserve">Pagamentos antecipados </t>
  </si>
  <si>
    <t>Muito embora impactem o caixa neste mês, não devem ser considerados na análise do desempenho financeiro da loja.</t>
  </si>
  <si>
    <t>Perdas</t>
  </si>
  <si>
    <t>Reposição de mercadorias danificadas ou extraviadas acima da incidência prevista. Esse é um dinheiro que não retorna.</t>
  </si>
  <si>
    <t>Retiradas não previstas diminuem o dinheiro disponível no negócio.</t>
  </si>
  <si>
    <t>Retiradas</t>
  </si>
  <si>
    <t>Identificar as causas dessas diferenças ajuda a entender melhor o comportamento do dinheiro no negócio.</t>
  </si>
  <si>
    <t>EDUARDO:</t>
  </si>
  <si>
    <t>Caso seja viável "apurar" os itens que forem assinalados pelo usuário, então mantenha os      . Se não, favor retira-los.</t>
  </si>
  <si>
    <t>Sendo possível, então mantenha o texto que está nas células verdes. Se não, retire.</t>
  </si>
  <si>
    <t>Até quando pretende ajustar as questões que assinalou?</t>
  </si>
  <si>
    <t>___/_____</t>
  </si>
  <si>
    <r>
      <rPr>
        <b/>
        <sz val="11"/>
        <color rgb="FFC00000"/>
        <rFont val="Calibri"/>
        <family val="2"/>
        <scheme val="minor"/>
      </rPr>
      <t>(E)</t>
    </r>
    <r>
      <rPr>
        <b/>
        <sz val="11"/>
        <color theme="1"/>
        <rFont val="Calibri"/>
        <family val="2"/>
        <scheme val="minor"/>
      </rPr>
      <t xml:space="preserve"> = </t>
    </r>
    <r>
      <rPr>
        <b/>
        <sz val="10"/>
        <color theme="1"/>
        <rFont val="Calibri"/>
        <family val="2"/>
        <scheme val="minor"/>
      </rPr>
      <t>Ponto de equilíbrio = SE(Margem bruta &lt;0;"";Custo fixo/(Marg.bruta/Quant. Clientes))</t>
    </r>
  </si>
  <si>
    <r>
      <rPr>
        <b/>
        <sz val="11"/>
        <color rgb="FFC00000"/>
        <rFont val="Calibri"/>
        <family val="2"/>
        <scheme val="minor"/>
      </rPr>
      <t>(R$E)</t>
    </r>
    <r>
      <rPr>
        <sz val="11"/>
        <color theme="1"/>
        <rFont val="Calibri"/>
        <family val="2"/>
        <scheme val="minor"/>
      </rPr>
      <t xml:space="preserve"> =</t>
    </r>
    <r>
      <rPr>
        <sz val="11"/>
        <color rgb="FFC00000"/>
        <rFont val="Calibri"/>
        <family val="2"/>
        <scheme val="minor"/>
      </rPr>
      <t xml:space="preserve"> SE(E="";"";</t>
    </r>
    <r>
      <rPr>
        <b/>
        <sz val="10"/>
        <color rgb="FFC00000"/>
        <rFont val="Calibri"/>
        <family val="2"/>
        <scheme val="minor"/>
      </rPr>
      <t>(E)</t>
    </r>
    <r>
      <rPr>
        <b/>
        <sz val="10"/>
        <color theme="1"/>
        <rFont val="Calibri"/>
        <family val="2"/>
        <scheme val="minor"/>
      </rPr>
      <t xml:space="preserve"> * </t>
    </r>
    <r>
      <rPr>
        <b/>
        <sz val="10"/>
        <color rgb="FFC00000"/>
        <rFont val="Calibri"/>
        <family val="2"/>
        <scheme val="minor"/>
      </rPr>
      <t>(R$B))</t>
    </r>
  </si>
  <si>
    <r>
      <rPr>
        <b/>
        <sz val="11"/>
        <color rgb="FFC00000"/>
        <rFont val="Calibri"/>
        <family val="2"/>
        <scheme val="minor"/>
      </rPr>
      <t>(H)</t>
    </r>
    <r>
      <rPr>
        <b/>
        <sz val="10"/>
        <color theme="1"/>
        <rFont val="Calibri"/>
        <family val="2"/>
        <scheme val="minor"/>
      </rPr>
      <t xml:space="preserve"> = SE(R$H&gt;0;"lucro de (H%) o que corresponde a (R$H)";SE(R$H&lt;0;"prejuízo de (H%) o que corresponde a (R$H)";SE(R$H)=0;"margem zero (nem lucro, nem prejuízo.")))</t>
    </r>
  </si>
  <si>
    <t>Isso significa que aqui, o usuário ao preencher a Análise mensal, irá automaticamente alimentar o Banco de Dados com os Dados Básicos e indicadores para acompanhamento.</t>
  </si>
  <si>
    <t>Qual o mês que você quer informar?</t>
  </si>
  <si>
    <r>
      <t xml:space="preserve">(A) = </t>
    </r>
    <r>
      <rPr>
        <b/>
        <sz val="10"/>
        <color theme="1"/>
        <rFont val="Calibri"/>
        <family val="2"/>
        <scheme val="minor"/>
      </rPr>
      <t>Mês informado pelo usuário</t>
    </r>
  </si>
  <si>
    <t>Fevereiro</t>
  </si>
  <si>
    <t>SE(OU(Quant.Clientes="";Capacidade atend.="");"";SE(E(Quant.Clientes&gt;=Capacidade atend.*98%;Quant.Clientes&lt;=Capacidade atend.*102%);"";SE(Quant.Clientes&lt;Capacidade atend.*98%;"É bom saber que a  estrutura disponível permitiria realizar mais vendas sem aumentar os custos de funcionamento da loja.";SE(Quant.Clientes&gt;Capacidade atend.*102%;"A loja existe para vender. OK! Mas, quando a capacidade instalada é superada a qualidade do atendimento pode ficar prejudicada, a equipe estressada e a imagem da loja prejudicada. Fique atento!"))))</t>
  </si>
  <si>
    <t>SE(Faturamento="";"";"Ou seja, cada cliente gerou em média (R$B) de faturamento.")</t>
  </si>
  <si>
    <t>SE(Gastos com vendas="";"";"Por tanto, do montante faturado (100%), sobram (R$C) para a loja.")</t>
  </si>
  <si>
    <t>SE(Custo das mercadorias="";"";"A margem bruta no mês foi de (R$D)")</t>
  </si>
  <si>
    <t>SE(Marg. bruta&gt;Custo func.loja;"Agora já podemos dizer que a loja precisa de aproximadamente (R$E) de faturamento para pagar suas contas, o que corresponde a vender para (E) clientes.";SE(OU(Marg. bruta&lt;=0;Marg. bruta&lt;Custo func.loja);"A loja está trabalhando com preços baixos e/ou custos elevados. Precisamos  melhorar este resultado!";""))</t>
  </si>
  <si>
    <t>SE(OU(Margem bruta&lt;=0;Margem bruta&lt;Custos func.Loja);"";"O faturamento da loja poderia cair (F%) antes de começar a registrar prejuízo.")</t>
  </si>
  <si>
    <t>SE(Comentário anterior (6)="";"";SE(E(Margem segurança&gt;0;Margem segurança&lt;10%);"Esse indicador mostra que o seu negócio poderá registrar prejuízo com pequena queda nas vendas.";SE(E(Margem segurança&gt;=10%;Margem segurança&lt;25%);"Esse indicador mostra que o seu negócio conta com pouca margem para enfrentar quedas nas vendas.";SE(E(Margem segurança&gt;=25%;Margem segurança&lt;40%);"Esse indicador mostra que o seu negócio conta com boa margem para enfrentar quedas nas vendas.";SE(Margem segurança&gt;=40%;"Esse indicador mostra que o seu negócio está bem preparado para enfrentar quedas nas vendas.")))))</t>
  </si>
  <si>
    <r>
      <rPr>
        <b/>
        <sz val="11"/>
        <color rgb="FFC00000"/>
        <rFont val="Calibri"/>
        <family val="2"/>
        <scheme val="minor"/>
      </rPr>
      <t>(F%)</t>
    </r>
    <r>
      <rPr>
        <sz val="11"/>
        <color theme="1"/>
        <rFont val="Calibri"/>
        <family val="2"/>
        <scheme val="minor"/>
      </rPr>
      <t xml:space="preserve"> =Margem de segurança =</t>
    </r>
    <r>
      <rPr>
        <b/>
        <sz val="10"/>
        <color theme="1"/>
        <rFont val="Calibri"/>
        <family val="2"/>
        <scheme val="minor"/>
      </rPr>
      <t xml:space="preserve"> (Faturamento - ponto de equilíbrio)/Faturamento</t>
    </r>
  </si>
  <si>
    <t>SE(E(Gastos com vendas&gt;0;Custo das mercadorias&gt;0;Custo func.Loja&gt;0);"Com um custo total de (R$G), resultado do mês: (H) (%H) o que corresponde a (R$H).";"")</t>
  </si>
  <si>
    <t>SE(OU(Faturamento="";Gastos com vendas="";Custo das mercadorias="";Custo func.Loja="");"";SE(%margem&gt;=%Lucro ideal*105%;"Você tem motivo para comemorar! Os números mostram que sua loja está no caminho certo";SE(E(%margem&gt;=%Lucro ideal*95%;%margem&lt;%Lucro ideal*105%);"Você deve estar satisfeito com o resultado alcançado. Com alguns ajustes será possível conseguir mais!";SE(E(%margem&gt;0;%margem&lt;%Lucro ideal*95%);"O resultado ficou abaixo do que você gostaria. Vamos ajustar isso juntos!";SE(%margem&lt;=0;"É natural que esteja preocupado! A boa notícia é que esse resultado pode ser ajustado, e vamos trabalhar juntos para melhorar isso!")))))</t>
  </si>
  <si>
    <t>SE(Comentário custo total e margem (8)="";"";"Indique se este valor corresponde ao que apurou no caixa, no fechamento do mês:")</t>
  </si>
  <si>
    <t>SE(E(Corresponde="";Não corresponde="");"";SE(E(Corresponde&gt;"";Não corresponde="");"Ótimo! É sinal de que as finanças estão bem acompanhadas.";SE(E(Corresponde="";Não corresponde&gt;"");"Recomendo que você veja o que a Ana tem a dizer.";SE(E(Corresponde&gt;"";Não corresponde&gt;"");"Escolha apenas uma alternativa de resposta."))))</t>
  </si>
  <si>
    <t>Agora é hora de usar esses números para melhorar os próximos resultados e buscar ainda mais lucro.</t>
  </si>
  <si>
    <t>Vamos em frente, Fulano?</t>
  </si>
  <si>
    <t>Aliás, muito importante: se você puder anotar os dados de  alguns meses, isso será muito útil. E, de agora em diante, assuma com você mesmo o compromisso de manter estas informações atualizadas.</t>
  </si>
  <si>
    <t>Descrição das fórmulas</t>
  </si>
  <si>
    <r>
      <t>Para facilitar, listamos a baixo os tipos mais comuns para que você (</t>
    </r>
    <r>
      <rPr>
        <b/>
        <i/>
        <u/>
        <sz val="11"/>
        <color theme="4" tint="-0.249977111117893"/>
        <rFont val="Calibri"/>
        <family val="2"/>
        <scheme val="minor"/>
      </rPr>
      <t>ou seu contador ou seu funcionário</t>
    </r>
    <r>
      <rPr>
        <b/>
        <sz val="11"/>
        <color theme="1"/>
        <rFont val="Calibri"/>
        <family val="2"/>
        <scheme val="minor"/>
      </rPr>
      <t>), possa preencher os que ocorrem em sua loja.</t>
    </r>
  </si>
  <si>
    <t>MÊS</t>
  </si>
  <si>
    <t>Combustível</t>
  </si>
  <si>
    <t>Manutenção veicular</t>
  </si>
  <si>
    <t>Despesas de viagem (passagens, refeições, hospedagens)</t>
  </si>
  <si>
    <t>Esta tela deve permitir revisões e atualizações, e, alimentar o Dashboard.</t>
  </si>
  <si>
    <r>
      <t>Para facilitar, listamos a baixo, para que você (</t>
    </r>
    <r>
      <rPr>
        <b/>
        <i/>
        <u/>
        <sz val="11"/>
        <color theme="4" tint="-0.249977111117893"/>
        <rFont val="Calibri"/>
        <family val="2"/>
        <scheme val="minor"/>
      </rPr>
      <t>ou seu contador, ou seu funcionário</t>
    </r>
    <r>
      <rPr>
        <b/>
        <sz val="11"/>
        <color theme="1"/>
        <rFont val="Calibri"/>
        <family val="2"/>
        <scheme val="minor"/>
      </rPr>
      <t>), possa preencher.</t>
    </r>
  </si>
  <si>
    <t>Nós chamamos assim, todos os custos que ocorrem (ou podem ocorrer) quando uma venda acontece, exceto os referentes a compra de mercadorias para venda.</t>
  </si>
  <si>
    <t>TOTAL</t>
  </si>
  <si>
    <t>Concluimos assim nossa análise do mê de 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</si>
</sst>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0.0%"/>
    <numFmt numFmtId="166" formatCode="&quot;R$&quot;\ #,##0.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i/>
      <u/>
      <sz val="11"/>
      <color theme="4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7" fillId="0" borderId="0" xfId="0" applyFont="1" applyAlignment="1">
      <alignment horizontal="right"/>
    </xf>
    <xf numFmtId="165" fontId="2" fillId="0" borderId="0" xfId="1" applyNumberFormat="1" applyFont="1"/>
    <xf numFmtId="10" fontId="2" fillId="0" borderId="0" xfId="1" applyNumberFormat="1" applyFont="1"/>
    <xf numFmtId="0" fontId="0" fillId="0" borderId="0" xfId="0" applyAlignment="1">
      <alignment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center" wrapText="1"/>
    </xf>
    <xf numFmtId="164" fontId="1" fillId="0" borderId="7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0" fontId="0" fillId="0" borderId="15" xfId="0" applyBorder="1"/>
    <xf numFmtId="0" fontId="0" fillId="0" borderId="17" xfId="0" applyBorder="1"/>
    <xf numFmtId="164" fontId="0" fillId="0" borderId="18" xfId="0" applyNumberFormat="1" applyBorder="1" applyAlignment="1">
      <alignment horizontal="center"/>
    </xf>
    <xf numFmtId="0" fontId="0" fillId="0" borderId="19" xfId="0" applyBorder="1"/>
    <xf numFmtId="164" fontId="0" fillId="0" borderId="20" xfId="0" applyNumberFormat="1" applyBorder="1" applyAlignment="1">
      <alignment horizontal="center"/>
    </xf>
    <xf numFmtId="0" fontId="12" fillId="0" borderId="0" xfId="0" applyFont="1"/>
    <xf numFmtId="0" fontId="0" fillId="0" borderId="21" xfId="0" applyBorder="1"/>
    <xf numFmtId="164" fontId="0" fillId="0" borderId="22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16" xfId="0" applyBorder="1"/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5" fillId="0" borderId="18" xfId="0" applyFont="1" applyBorder="1" applyAlignment="1">
      <alignment horizontal="center"/>
    </xf>
    <xf numFmtId="3" fontId="5" fillId="0" borderId="18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10" fontId="5" fillId="0" borderId="18" xfId="1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vertical="center"/>
    </xf>
    <xf numFmtId="0" fontId="0" fillId="0" borderId="23" xfId="0" applyBorder="1"/>
    <xf numFmtId="164" fontId="5" fillId="0" borderId="24" xfId="0" applyNumberFormat="1" applyFont="1" applyBorder="1" applyAlignment="1">
      <alignment vertical="center"/>
    </xf>
    <xf numFmtId="10" fontId="5" fillId="0" borderId="25" xfId="1" applyNumberFormat="1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164" fontId="5" fillId="0" borderId="22" xfId="1" applyNumberFormat="1" applyFont="1" applyBorder="1" applyAlignment="1">
      <alignment horizontal="center"/>
    </xf>
    <xf numFmtId="166" fontId="5" fillId="0" borderId="18" xfId="1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9" fontId="5" fillId="0" borderId="20" xfId="1" applyFont="1" applyBorder="1" applyAlignment="1">
      <alignment horizontal="center"/>
    </xf>
    <xf numFmtId="0" fontId="13" fillId="0" borderId="0" xfId="0" applyFont="1"/>
    <xf numFmtId="0" fontId="1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5" fillId="2" borderId="0" xfId="0" applyFont="1" applyFill="1" applyAlignment="1">
      <alignment horizontal="left" vertical="top" wrapText="1"/>
    </xf>
    <xf numFmtId="0" fontId="15" fillId="2" borderId="0" xfId="0" applyFont="1" applyFill="1" applyAlignment="1">
      <alignment vertical="top" wrapText="1"/>
    </xf>
    <xf numFmtId="165" fontId="2" fillId="0" borderId="0" xfId="1" applyNumberFormat="1" applyFont="1" applyFill="1"/>
    <xf numFmtId="0" fontId="15" fillId="0" borderId="0" xfId="0" applyFont="1" applyAlignment="1">
      <alignment horizontal="left" wrapText="1"/>
    </xf>
    <xf numFmtId="0" fontId="1" fillId="0" borderId="0" xfId="0" applyFont="1" applyAlignment="1">
      <alignment vertical="center" wrapText="1"/>
    </xf>
    <xf numFmtId="0" fontId="17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vertical="top" wrapText="1"/>
    </xf>
    <xf numFmtId="0" fontId="15" fillId="2" borderId="0" xfId="0" applyFont="1" applyFill="1" applyAlignment="1">
      <alignment vertical="center" wrapText="1"/>
    </xf>
    <xf numFmtId="0" fontId="1" fillId="3" borderId="23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9" fillId="5" borderId="0" xfId="0" applyFont="1" applyFill="1" applyAlignment="1">
      <alignment horizontal="left" vertical="top" wrapText="1"/>
    </xf>
    <xf numFmtId="0" fontId="6" fillId="0" borderId="0" xfId="0" applyFont="1" applyAlignment="1">
      <alignment vertical="center" wrapText="1"/>
    </xf>
    <xf numFmtId="164" fontId="5" fillId="0" borderId="0" xfId="0" applyNumberFormat="1" applyFont="1" applyAlignment="1">
      <alignment vertical="center"/>
    </xf>
    <xf numFmtId="0" fontId="13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/>
    </xf>
    <xf numFmtId="0" fontId="19" fillId="5" borderId="0" xfId="0" applyFont="1" applyFill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9" fillId="6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wrapText="1"/>
    </xf>
    <xf numFmtId="10" fontId="5" fillId="0" borderId="1" xfId="1" applyNumberFormat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164" fontId="5" fillId="0" borderId="28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5" fillId="2" borderId="0" xfId="0" applyFont="1" applyFill="1" applyAlignment="1">
      <alignment horizontal="left" vertical="top" wrapText="1"/>
    </xf>
    <xf numFmtId="0" fontId="9" fillId="0" borderId="23" xfId="0" applyFont="1" applyBorder="1" applyAlignment="1">
      <alignment horizontal="left"/>
    </xf>
    <xf numFmtId="0" fontId="9" fillId="0" borderId="0" xfId="0" applyFont="1" applyAlignment="1">
      <alignment horizontal="left"/>
    </xf>
    <xf numFmtId="164" fontId="9" fillId="2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8" fillId="5" borderId="0" xfId="0" applyFont="1" applyFill="1" applyAlignment="1">
      <alignment horizontal="left"/>
    </xf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0" fontId="7" fillId="0" borderId="23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9" fillId="2" borderId="0" xfId="0" applyFont="1" applyFill="1" applyAlignment="1">
      <alignment horizontal="left" vertical="top" wrapText="1"/>
    </xf>
    <xf numFmtId="0" fontId="15" fillId="2" borderId="0" xfId="0" applyFont="1" applyFill="1" applyAlignment="1">
      <alignment horizontal="left" wrapText="1"/>
    </xf>
    <xf numFmtId="0" fontId="1" fillId="0" borderId="4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0" xfId="0" applyFont="1" applyAlignment="1">
      <alignment horizontal="left"/>
    </xf>
    <xf numFmtId="164" fontId="9" fillId="2" borderId="1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9" fillId="2" borderId="0" xfId="0" applyFont="1" applyFill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3" borderId="0" xfId="0" applyFill="1" applyAlignment="1">
      <alignment horizontal="center" wrapText="1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3" fontId="9" fillId="2" borderId="2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wrapText="1"/>
    </xf>
    <xf numFmtId="0" fontId="5" fillId="0" borderId="2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4" xfId="0" applyFont="1" applyBorder="1" applyAlignment="1">
      <alignment horizontal="left" wrapText="1"/>
    </xf>
    <xf numFmtId="0" fontId="15" fillId="2" borderId="1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top" wrapText="1"/>
    </xf>
    <xf numFmtId="164" fontId="13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left" wrapText="1"/>
    </xf>
    <xf numFmtId="0" fontId="15" fillId="2" borderId="0" xfId="0" applyFont="1" applyFill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164" fontId="1" fillId="0" borderId="5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12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wrapText="1"/>
    </xf>
    <xf numFmtId="0" fontId="12" fillId="0" borderId="0" xfId="0" applyFont="1" applyAlignment="1">
      <alignment horizontal="left" vertical="center" wrapText="1"/>
    </xf>
    <xf numFmtId="0" fontId="0" fillId="3" borderId="0" xfId="0" applyFill="1" applyAlignment="1">
      <alignment horizontal="left" wrapText="1"/>
    </xf>
    <xf numFmtId="0" fontId="0" fillId="3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left" vertical="top" wrapText="1"/>
    </xf>
    <xf numFmtId="0" fontId="0" fillId="4" borderId="0" xfId="0" applyFill="1" applyAlignment="1">
      <alignment horizontal="center" vertical="top" wrapText="1"/>
    </xf>
    <xf numFmtId="0" fontId="7" fillId="0" borderId="0" xfId="0" applyFont="1" applyAlignment="1">
      <alignment horizontal="right" vertical="top"/>
    </xf>
    <xf numFmtId="0" fontId="0" fillId="0" borderId="0" xfId="0" applyBorder="1"/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247004</xdr:colOff>
      <xdr:row>55</xdr:row>
      <xdr:rowOff>39753</xdr:rowOff>
    </xdr:from>
    <xdr:to>
      <xdr:col>8</xdr:col>
      <xdr:colOff>55083</xdr:colOff>
      <xdr:row>62</xdr:row>
      <xdr:rowOff>64576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1AC240-613D-B213-1BFB-C00C0CBB1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0818" y="9459817"/>
          <a:ext cx="1220684" cy="1235628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6</xdr:col>
      <xdr:colOff>345882</xdr:colOff>
      <xdr:row>22</xdr:row>
      <xdr:rowOff>36086</xdr:rowOff>
    </xdr:from>
    <xdr:to>
      <xdr:col>7</xdr:col>
      <xdr:colOff>56258</xdr:colOff>
      <xdr:row>24</xdr:row>
      <xdr:rowOff>121810</xdr:rowOff>
    </xdr:to>
    <xdr:pic>
      <xdr:nvPicPr>
        <xdr:cNvPr id="7" name="Picture 4" descr="Generated image">
          <a:extLst>
            <a:ext uri="{FF2B5EF4-FFF2-40B4-BE49-F238E27FC236}">
              <a16:creationId xmlns:a16="http://schemas.microsoft.com/office/drawing/2014/main" id="{C67B36AA-DAD3-4ADE-92A5-73FFA964B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8496" b="98145" l="9961" r="90918">
                      <a14:foregroundMark x1="49414" y1="49609" x2="49414" y2="49609"/>
                      <a14:foregroundMark x1="49414" y1="49609" x2="49414" y2="49609"/>
                      <a14:foregroundMark x1="35645" y1="74805" x2="35645" y2="74805"/>
                      <a14:foregroundMark x1="35645" y1="74805" x2="35645" y2="74805"/>
                      <a14:foregroundMark x1="73145" y1="84766" x2="73145" y2="84766"/>
                      <a14:foregroundMark x1="34863" y1="72070" x2="34863" y2="72070"/>
                      <a14:foregroundMark x1="32813" y1="68945" x2="31250" y2="80762"/>
                      <a14:foregroundMark x1="41113" y1="67773" x2="37207" y2="93457"/>
                      <a14:foregroundMark x1="64844" y1="63770" x2="59082" y2="84961"/>
                      <a14:foregroundMark x1="59082" y1="84961" x2="73535" y2="97266"/>
                      <a14:foregroundMark x1="73535" y1="97266" x2="89648" y2="96973"/>
                      <a14:foregroundMark x1="89648" y1="96973" x2="87695" y2="79492"/>
                      <a14:foregroundMark x1="87695" y1="79492" x2="67578" y2="65723"/>
                      <a14:foregroundMark x1="69238" y1="81934" x2="69238" y2="81934"/>
                      <a14:foregroundMark x1="67188" y1="70898" x2="74805" y2="88379"/>
                      <a14:foregroundMark x1="74805" y1="88379" x2="78223" y2="75098"/>
                      <a14:foregroundMark x1="78223" y1="75098" x2="67578" y2="73633"/>
                      <a14:foregroundMark x1="56543" y1="74414" x2="48633" y2="88184"/>
                      <a14:foregroundMark x1="48633" y1="88184" x2="57617" y2="98145"/>
                      <a14:foregroundMark x1="57617" y1="98145" x2="60938" y2="84375"/>
                      <a14:foregroundMark x1="60938" y1="84375" x2="55371" y2="76855"/>
                      <a14:foregroundMark x1="46680" y1="93848" x2="46680" y2="93848"/>
                      <a14:foregroundMark x1="46680" y1="93457" x2="46680" y2="93457"/>
                      <a14:foregroundMark x1="28906" y1="87500" x2="28906" y2="87500"/>
                      <a14:foregroundMark x1="28906" y1="87500" x2="28906" y2="87500"/>
                      <a14:foregroundMark x1="90137" y1="83105" x2="90137" y2="83105"/>
                      <a14:foregroundMark x1="90918" y1="83496" x2="90918" y2="83496"/>
                      <a14:foregroundMark x1="47852" y1="93457" x2="47852" y2="93457"/>
                      <a14:foregroundMark x1="42285" y1="61816" x2="42285" y2="61816"/>
                      <a14:foregroundMark x1="52637" y1="8496" x2="52637" y2="8496"/>
                      <a14:foregroundMark x1="70801" y1="34180" x2="70801" y2="34180"/>
                      <a14:backgroundMark x1="38379" y1="63770" x2="38379" y2="63770"/>
                      <a14:backgroundMark x1="38770" y1="62988" x2="38770" y2="629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79696" y="4080175"/>
          <a:ext cx="323850" cy="3278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339129</xdr:colOff>
      <xdr:row>32</xdr:row>
      <xdr:rowOff>1560</xdr:rowOff>
    </xdr:from>
    <xdr:to>
      <xdr:col>7</xdr:col>
      <xdr:colOff>49505</xdr:colOff>
      <xdr:row>34</xdr:row>
      <xdr:rowOff>88390</xdr:rowOff>
    </xdr:to>
    <xdr:pic>
      <xdr:nvPicPr>
        <xdr:cNvPr id="9" name="Picture 4" descr="Generated image">
          <a:extLst>
            <a:ext uri="{FF2B5EF4-FFF2-40B4-BE49-F238E27FC236}">
              <a16:creationId xmlns:a16="http://schemas.microsoft.com/office/drawing/2014/main" id="{35CF10F6-3138-4AE5-9FA5-F8DE19134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8496" b="98145" l="9961" r="90918">
                      <a14:foregroundMark x1="49414" y1="49609" x2="49414" y2="49609"/>
                      <a14:foregroundMark x1="49414" y1="49609" x2="49414" y2="49609"/>
                      <a14:foregroundMark x1="35645" y1="74805" x2="35645" y2="74805"/>
                      <a14:foregroundMark x1="35645" y1="74805" x2="35645" y2="74805"/>
                      <a14:foregroundMark x1="73145" y1="84766" x2="73145" y2="84766"/>
                      <a14:foregroundMark x1="34863" y1="72070" x2="34863" y2="72070"/>
                      <a14:foregroundMark x1="32813" y1="68945" x2="31250" y2="80762"/>
                      <a14:foregroundMark x1="41113" y1="67773" x2="37207" y2="93457"/>
                      <a14:foregroundMark x1="64844" y1="63770" x2="59082" y2="84961"/>
                      <a14:foregroundMark x1="59082" y1="84961" x2="73535" y2="97266"/>
                      <a14:foregroundMark x1="73535" y1="97266" x2="89648" y2="96973"/>
                      <a14:foregroundMark x1="89648" y1="96973" x2="87695" y2="79492"/>
                      <a14:foregroundMark x1="87695" y1="79492" x2="67578" y2="65723"/>
                      <a14:foregroundMark x1="69238" y1="81934" x2="69238" y2="81934"/>
                      <a14:foregroundMark x1="67188" y1="70898" x2="74805" y2="88379"/>
                      <a14:foregroundMark x1="74805" y1="88379" x2="78223" y2="75098"/>
                      <a14:foregroundMark x1="78223" y1="75098" x2="67578" y2="73633"/>
                      <a14:foregroundMark x1="56543" y1="74414" x2="48633" y2="88184"/>
                      <a14:foregroundMark x1="48633" y1="88184" x2="57617" y2="98145"/>
                      <a14:foregroundMark x1="57617" y1="98145" x2="60938" y2="84375"/>
                      <a14:foregroundMark x1="60938" y1="84375" x2="55371" y2="76855"/>
                      <a14:foregroundMark x1="46680" y1="93848" x2="46680" y2="93848"/>
                      <a14:foregroundMark x1="46680" y1="93457" x2="46680" y2="93457"/>
                      <a14:foregroundMark x1="28906" y1="87500" x2="28906" y2="87500"/>
                      <a14:foregroundMark x1="28906" y1="87500" x2="28906" y2="87500"/>
                      <a14:foregroundMark x1="90137" y1="83105" x2="90137" y2="83105"/>
                      <a14:foregroundMark x1="90918" y1="83496" x2="90918" y2="83496"/>
                      <a14:foregroundMark x1="47852" y1="93457" x2="47852" y2="93457"/>
                      <a14:foregroundMark x1="42285" y1="61816" x2="42285" y2="61816"/>
                      <a14:foregroundMark x1="52637" y1="8496" x2="52637" y2="8496"/>
                      <a14:foregroundMark x1="70801" y1="34180" x2="70801" y2="34180"/>
                      <a14:backgroundMark x1="38379" y1="63770" x2="38379" y2="63770"/>
                      <a14:backgroundMark x1="38770" y1="62988" x2="38770" y2="629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5472943" y="5547047"/>
          <a:ext cx="323850" cy="3289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501781</xdr:colOff>
      <xdr:row>62</xdr:row>
      <xdr:rowOff>48431</xdr:rowOff>
    </xdr:from>
    <xdr:to>
      <xdr:col>10</xdr:col>
      <xdr:colOff>529612</xdr:colOff>
      <xdr:row>63</xdr:row>
      <xdr:rowOff>157760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3D45045-0A33-D5B6-7E1F-5E71449251CB}"/>
            </a:ext>
          </a:extLst>
        </xdr:cNvPr>
        <xdr:cNvSpPr/>
      </xdr:nvSpPr>
      <xdr:spPr>
        <a:xfrm>
          <a:off x="7048200" y="10679300"/>
          <a:ext cx="1254781" cy="303057"/>
        </a:xfrm>
        <a:prstGeom prst="round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>
              <a:solidFill>
                <a:schemeClr val="tx1"/>
              </a:solidFill>
            </a:rPr>
            <a:t>Sim, vamos!</a:t>
          </a:r>
        </a:p>
      </xdr:txBody>
    </xdr:sp>
    <xdr:clientData/>
  </xdr:twoCellAnchor>
  <xdr:twoCellAnchor editAs="oneCell">
    <xdr:from>
      <xdr:col>5</xdr:col>
      <xdr:colOff>392851</xdr:colOff>
      <xdr:row>1</xdr:row>
      <xdr:rowOff>88462</xdr:rowOff>
    </xdr:from>
    <xdr:to>
      <xdr:col>7</xdr:col>
      <xdr:colOff>63679</xdr:colOff>
      <xdr:row>7</xdr:row>
      <xdr:rowOff>38585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7499D26F-DEEB-4FBA-BF1D-565D2F2E8D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77" r="44186" b="31516"/>
        <a:stretch>
          <a:fillRect/>
        </a:stretch>
      </xdr:blipFill>
      <xdr:spPr>
        <a:xfrm>
          <a:off x="4466620" y="278962"/>
          <a:ext cx="1172847" cy="1166392"/>
        </a:xfrm>
        <a:prstGeom prst="rect">
          <a:avLst/>
        </a:prstGeom>
        <a:effectLst>
          <a:softEdge rad="63500"/>
        </a:effectLst>
      </xdr:spPr>
    </xdr:pic>
    <xdr:clientData/>
  </xdr:twoCellAnchor>
  <xdr:twoCellAnchor editAs="oneCell">
    <xdr:from>
      <xdr:col>9</xdr:col>
      <xdr:colOff>402621</xdr:colOff>
      <xdr:row>52</xdr:row>
      <xdr:rowOff>183540</xdr:rowOff>
    </xdr:from>
    <xdr:to>
      <xdr:col>10</xdr:col>
      <xdr:colOff>121337</xdr:colOff>
      <xdr:row>55</xdr:row>
      <xdr:rowOff>77611</xdr:rowOff>
    </xdr:to>
    <xdr:pic>
      <xdr:nvPicPr>
        <xdr:cNvPr id="11" name="Picture 4" descr="Generated image">
          <a:extLst>
            <a:ext uri="{FF2B5EF4-FFF2-40B4-BE49-F238E27FC236}">
              <a16:creationId xmlns:a16="http://schemas.microsoft.com/office/drawing/2014/main" id="{0CEF207F-EC13-474E-85B8-95B3265A4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8496" b="98145" l="9961" r="90918">
                      <a14:foregroundMark x1="49414" y1="49609" x2="49414" y2="49609"/>
                      <a14:foregroundMark x1="49414" y1="49609" x2="49414" y2="49609"/>
                      <a14:foregroundMark x1="35645" y1="74805" x2="35645" y2="74805"/>
                      <a14:foregroundMark x1="35645" y1="74805" x2="35645" y2="74805"/>
                      <a14:foregroundMark x1="73145" y1="84766" x2="73145" y2="84766"/>
                      <a14:foregroundMark x1="34863" y1="72070" x2="34863" y2="72070"/>
                      <a14:foregroundMark x1="32813" y1="68945" x2="31250" y2="80762"/>
                      <a14:foregroundMark x1="41113" y1="67773" x2="37207" y2="93457"/>
                      <a14:foregroundMark x1="64844" y1="63770" x2="59082" y2="84961"/>
                      <a14:foregroundMark x1="59082" y1="84961" x2="73535" y2="97266"/>
                      <a14:foregroundMark x1="73535" y1="97266" x2="89648" y2="96973"/>
                      <a14:foregroundMark x1="89648" y1="96973" x2="87695" y2="79492"/>
                      <a14:foregroundMark x1="87695" y1="79492" x2="67578" y2="65723"/>
                      <a14:foregroundMark x1="69238" y1="81934" x2="69238" y2="81934"/>
                      <a14:foregroundMark x1="67188" y1="70898" x2="74805" y2="88379"/>
                      <a14:foregroundMark x1="74805" y1="88379" x2="78223" y2="75098"/>
                      <a14:foregroundMark x1="78223" y1="75098" x2="67578" y2="73633"/>
                      <a14:foregroundMark x1="56543" y1="74414" x2="48633" y2="88184"/>
                      <a14:foregroundMark x1="48633" y1="88184" x2="57617" y2="98145"/>
                      <a14:foregroundMark x1="57617" y1="98145" x2="60938" y2="84375"/>
                      <a14:foregroundMark x1="60938" y1="84375" x2="55371" y2="76855"/>
                      <a14:foregroundMark x1="46680" y1="93848" x2="46680" y2="93848"/>
                      <a14:foregroundMark x1="46680" y1="93457" x2="46680" y2="93457"/>
                      <a14:foregroundMark x1="28906" y1="87500" x2="28906" y2="87500"/>
                      <a14:foregroundMark x1="28906" y1="87500" x2="28906" y2="87500"/>
                      <a14:foregroundMark x1="90137" y1="83105" x2="90137" y2="83105"/>
                      <a14:foregroundMark x1="90918" y1="83496" x2="90918" y2="83496"/>
                      <a14:foregroundMark x1="47852" y1="93457" x2="47852" y2="93457"/>
                      <a14:foregroundMark x1="42285" y1="61816" x2="42285" y2="61816"/>
                      <a14:foregroundMark x1="52637" y1="8496" x2="52637" y2="8496"/>
                      <a14:foregroundMark x1="70801" y1="34180" x2="70801" y2="34180"/>
                      <a14:backgroundMark x1="38379" y1="63770" x2="38379" y2="63770"/>
                      <a14:backgroundMark x1="38770" y1="62988" x2="38770" y2="629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385179" y="8580194"/>
          <a:ext cx="326851" cy="3263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209416</xdr:colOff>
      <xdr:row>50</xdr:row>
      <xdr:rowOff>10185</xdr:rowOff>
    </xdr:from>
    <xdr:to>
      <xdr:col>6</xdr:col>
      <xdr:colOff>80720</xdr:colOff>
      <xdr:row>57</xdr:row>
      <xdr:rowOff>0</xdr:rowOff>
    </xdr:to>
    <xdr:sp macro="" textlink="">
      <xdr:nvSpPr>
        <xdr:cNvPr id="12" name="Balão de Fala: Retângulo 11">
          <a:extLst>
            <a:ext uri="{FF2B5EF4-FFF2-40B4-BE49-F238E27FC236}">
              <a16:creationId xmlns:a16="http://schemas.microsoft.com/office/drawing/2014/main" id="{7F0D367C-3EDF-B283-20A0-F8C40D6BA090}"/>
            </a:ext>
          </a:extLst>
        </xdr:cNvPr>
        <xdr:cNvSpPr/>
      </xdr:nvSpPr>
      <xdr:spPr>
        <a:xfrm>
          <a:off x="3640030" y="8606901"/>
          <a:ext cx="1574504" cy="1055324"/>
        </a:xfrm>
        <a:prstGeom prst="wedgeRectCallout">
          <a:avLst>
            <a:gd name="adj1" fmla="val 198792"/>
            <a:gd name="adj2" fmla="val 18857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900">
              <a:solidFill>
                <a:sysClr val="windowText" lastClr="000000"/>
              </a:solidFill>
            </a:rPr>
            <a:t>A</a:t>
          </a:r>
          <a:r>
            <a:rPr lang="pt-BR" sz="900" baseline="0">
              <a:solidFill>
                <a:sysClr val="windowText" lastClr="000000"/>
              </a:solidFill>
            </a:rPr>
            <a:t> Ana s</a:t>
          </a:r>
          <a:r>
            <a:rPr lang="pt-BR" sz="900">
              <a:solidFill>
                <a:sysClr val="windowText" lastClr="000000"/>
              </a:solidFill>
            </a:rPr>
            <a:t>ó aparece quando a frase for: " Recomendo que você veja o que a Ana tem a dizer"</a:t>
          </a:r>
        </a:p>
        <a:p>
          <a:pPr algn="l"/>
          <a:r>
            <a:rPr lang="pt-BR" sz="900">
              <a:solidFill>
                <a:sysClr val="windowText" lastClr="000000"/>
              </a:solidFill>
            </a:rPr>
            <a:t>Neste caso link para "Inconsistência"</a:t>
          </a:r>
        </a:p>
      </xdr:txBody>
    </xdr:sp>
    <xdr:clientData/>
  </xdr:twoCellAnchor>
  <xdr:twoCellAnchor>
    <xdr:from>
      <xdr:col>5</xdr:col>
      <xdr:colOff>277298</xdr:colOff>
      <xdr:row>19</xdr:row>
      <xdr:rowOff>29677</xdr:rowOff>
    </xdr:from>
    <xdr:to>
      <xdr:col>6</xdr:col>
      <xdr:colOff>312316</xdr:colOff>
      <xdr:row>21</xdr:row>
      <xdr:rowOff>188387</xdr:rowOff>
    </xdr:to>
    <xdr:sp macro="" textlink="">
      <xdr:nvSpPr>
        <xdr:cNvPr id="14" name="Balão de Fala: Retângulo 13">
          <a:extLst>
            <a:ext uri="{FF2B5EF4-FFF2-40B4-BE49-F238E27FC236}">
              <a16:creationId xmlns:a16="http://schemas.microsoft.com/office/drawing/2014/main" id="{F577C7AC-B120-16B4-74BD-7833A224B24C}"/>
            </a:ext>
          </a:extLst>
        </xdr:cNvPr>
        <xdr:cNvSpPr/>
      </xdr:nvSpPr>
      <xdr:spPr>
        <a:xfrm>
          <a:off x="4515116" y="3492580"/>
          <a:ext cx="931014" cy="546167"/>
        </a:xfrm>
        <a:prstGeom prst="wedgeRectCallout">
          <a:avLst>
            <a:gd name="adj1" fmla="val 58114"/>
            <a:gd name="adj2" fmla="val 91988"/>
          </a:avLst>
        </a:prstGeom>
        <a:solidFill>
          <a:srgbClr val="FFFF00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tx1"/>
              </a:solidFill>
            </a:rPr>
            <a:t>Link</a:t>
          </a:r>
          <a:r>
            <a:rPr lang="pt-BR" sz="900" baseline="0">
              <a:solidFill>
                <a:schemeClr val="tx1"/>
              </a:solidFill>
            </a:rPr>
            <a:t> para a tela CUSTOS VARIÁVEIS</a:t>
          </a:r>
          <a:endParaRPr lang="pt-BR" sz="9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220030</xdr:colOff>
      <xdr:row>28</xdr:row>
      <xdr:rowOff>181380</xdr:rowOff>
    </xdr:from>
    <xdr:to>
      <xdr:col>6</xdr:col>
      <xdr:colOff>255048</xdr:colOff>
      <xdr:row>31</xdr:row>
      <xdr:rowOff>16144</xdr:rowOff>
    </xdr:to>
    <xdr:sp macro="" textlink="">
      <xdr:nvSpPr>
        <xdr:cNvPr id="15" name="Balão de Fala: Retângulo 14">
          <a:extLst>
            <a:ext uri="{FF2B5EF4-FFF2-40B4-BE49-F238E27FC236}">
              <a16:creationId xmlns:a16="http://schemas.microsoft.com/office/drawing/2014/main" id="{5940C263-3427-49EC-B83F-F2DF96F6F395}"/>
            </a:ext>
          </a:extLst>
        </xdr:cNvPr>
        <xdr:cNvSpPr/>
      </xdr:nvSpPr>
      <xdr:spPr>
        <a:xfrm>
          <a:off x="4457848" y="5097249"/>
          <a:ext cx="931014" cy="415950"/>
        </a:xfrm>
        <a:prstGeom prst="wedgeRectCallout">
          <a:avLst>
            <a:gd name="adj1" fmla="val 56610"/>
            <a:gd name="adj2" fmla="val 114309"/>
          </a:avLst>
        </a:prstGeom>
        <a:solidFill>
          <a:srgbClr val="FFFF00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chemeClr val="tx1"/>
              </a:solidFill>
            </a:rPr>
            <a:t>Link</a:t>
          </a:r>
          <a:r>
            <a:rPr lang="pt-BR" sz="900" baseline="0">
              <a:solidFill>
                <a:schemeClr val="tx1"/>
              </a:solidFill>
            </a:rPr>
            <a:t> para a tela CUSTOS FIXOS</a:t>
          </a:r>
          <a:endParaRPr lang="pt-BR" sz="9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454269</xdr:colOff>
      <xdr:row>10</xdr:row>
      <xdr:rowOff>14654</xdr:rowOff>
    </xdr:from>
    <xdr:to>
      <xdr:col>10</xdr:col>
      <xdr:colOff>666750</xdr:colOff>
      <xdr:row>10</xdr:row>
      <xdr:rowOff>183173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2B5E811-AF1F-47A0-4978-EE4DC8ECF665}"/>
            </a:ext>
          </a:extLst>
        </xdr:cNvPr>
        <xdr:cNvSpPr/>
      </xdr:nvSpPr>
      <xdr:spPr>
        <a:xfrm>
          <a:off x="8206154" y="1992923"/>
          <a:ext cx="212481" cy="168519"/>
        </a:xfrm>
        <a:prstGeom prst="rect">
          <a:avLst/>
        </a:prstGeom>
        <a:solidFill>
          <a:schemeClr val="bg2"/>
        </a:solidFill>
        <a:ln w="952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V</a:t>
          </a:r>
        </a:p>
      </xdr:txBody>
    </xdr:sp>
    <xdr:clientData/>
  </xdr:twoCellAnchor>
  <xdr:twoCellAnchor>
    <xdr:from>
      <xdr:col>2</xdr:col>
      <xdr:colOff>791308</xdr:colOff>
      <xdr:row>5</xdr:row>
      <xdr:rowOff>0</xdr:rowOff>
    </xdr:from>
    <xdr:to>
      <xdr:col>3</xdr:col>
      <xdr:colOff>168519</xdr:colOff>
      <xdr:row>6</xdr:row>
      <xdr:rowOff>146539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A96083BB-A6E0-C94A-B314-00E3BC897AA5}"/>
            </a:ext>
          </a:extLst>
        </xdr:cNvPr>
        <xdr:cNvSpPr/>
      </xdr:nvSpPr>
      <xdr:spPr>
        <a:xfrm>
          <a:off x="2007577" y="1025769"/>
          <a:ext cx="256442" cy="337039"/>
        </a:xfrm>
        <a:prstGeom prst="downArrow">
          <a:avLst/>
        </a:prstGeom>
        <a:solidFill>
          <a:srgbClr val="FFFF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121081</xdr:colOff>
      <xdr:row>60</xdr:row>
      <xdr:rowOff>170657</xdr:rowOff>
    </xdr:from>
    <xdr:to>
      <xdr:col>12</xdr:col>
      <xdr:colOff>547930</xdr:colOff>
      <xdr:row>61</xdr:row>
      <xdr:rowOff>185657</xdr:rowOff>
    </xdr:to>
    <xdr:sp macro="" textlink="">
      <xdr:nvSpPr>
        <xdr:cNvPr id="6" name="Balão de Fala: Retângulo 5">
          <a:extLst>
            <a:ext uri="{FF2B5EF4-FFF2-40B4-BE49-F238E27FC236}">
              <a16:creationId xmlns:a16="http://schemas.microsoft.com/office/drawing/2014/main" id="{EA635A19-7912-42DA-A6A5-AC2BADF064D9}"/>
            </a:ext>
          </a:extLst>
        </xdr:cNvPr>
        <xdr:cNvSpPr/>
      </xdr:nvSpPr>
      <xdr:spPr>
        <a:xfrm>
          <a:off x="8572500" y="10414068"/>
          <a:ext cx="1040324" cy="208729"/>
        </a:xfrm>
        <a:prstGeom prst="wedgeRectCallout">
          <a:avLst>
            <a:gd name="adj1" fmla="val -77434"/>
            <a:gd name="adj2" fmla="val -62355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900">
              <a:solidFill>
                <a:sysClr val="windowText" lastClr="000000"/>
              </a:solidFill>
            </a:rPr>
            <a:t>Nome cadastrado</a:t>
          </a:r>
        </a:p>
      </xdr:txBody>
    </xdr:sp>
    <xdr:clientData/>
  </xdr:twoCellAnchor>
  <xdr:twoCellAnchor>
    <xdr:from>
      <xdr:col>2</xdr:col>
      <xdr:colOff>0</xdr:colOff>
      <xdr:row>44</xdr:row>
      <xdr:rowOff>193728</xdr:rowOff>
    </xdr:from>
    <xdr:to>
      <xdr:col>6</xdr:col>
      <xdr:colOff>532583</xdr:colOff>
      <xdr:row>49</xdr:row>
      <xdr:rowOff>109045</xdr:rowOff>
    </xdr:to>
    <xdr:sp macro="" textlink="">
      <xdr:nvSpPr>
        <xdr:cNvPr id="8" name="CaixaDeTexto 2">
          <a:extLst>
            <a:ext uri="{FF2B5EF4-FFF2-40B4-BE49-F238E27FC236}">
              <a16:creationId xmlns:a16="http://schemas.microsoft.com/office/drawing/2014/main" id="{F6115419-CB6B-B7FF-F8EC-856FE9D5C479}"/>
            </a:ext>
          </a:extLst>
        </xdr:cNvPr>
        <xdr:cNvSpPr txBox="1"/>
      </xdr:nvSpPr>
      <xdr:spPr>
        <a:xfrm>
          <a:off x="1226949" y="7975169"/>
          <a:ext cx="4439448" cy="73866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400"/>
            <a:t>Com esta informação, e, sabendo a “contribuição” média de cada venda, podemos dizer que a loja precisou de </a:t>
          </a:r>
          <a:r>
            <a:rPr lang="pt-BR" sz="1400" b="1">
              <a:solidFill>
                <a:srgbClr val="C00000"/>
              </a:solidFill>
            </a:rPr>
            <a:t>X</a:t>
          </a:r>
          <a:r>
            <a:rPr lang="pt-BR" sz="1400"/>
            <a:t> compradores para começar a ter lucro, ou seja: faturar R$.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184638</xdr:colOff>
      <xdr:row>0</xdr:row>
      <xdr:rowOff>95250</xdr:rowOff>
    </xdr:from>
    <xdr:to>
      <xdr:col>7</xdr:col>
      <xdr:colOff>361950</xdr:colOff>
      <xdr:row>7</xdr:row>
      <xdr:rowOff>153506</xdr:rowOff>
    </xdr:to>
    <xdr:pic>
      <xdr:nvPicPr>
        <xdr:cNvPr id="2" name="Picture 4" descr="Generated image">
          <a:extLst>
            <a:ext uri="{FF2B5EF4-FFF2-40B4-BE49-F238E27FC236}">
              <a16:creationId xmlns:a16="http://schemas.microsoft.com/office/drawing/2014/main" id="{F169CAA2-CD4D-4ABA-8D7C-28B428146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496" b="98145" l="9961" r="90918">
                      <a14:foregroundMark x1="49414" y1="49609" x2="49414" y2="49609"/>
                      <a14:foregroundMark x1="49414" y1="49609" x2="49414" y2="49609"/>
                      <a14:foregroundMark x1="35645" y1="74805" x2="35645" y2="74805"/>
                      <a14:foregroundMark x1="35645" y1="74805" x2="35645" y2="74805"/>
                      <a14:foregroundMark x1="73145" y1="84766" x2="73145" y2="84766"/>
                      <a14:foregroundMark x1="34863" y1="72070" x2="34863" y2="72070"/>
                      <a14:foregroundMark x1="32813" y1="68945" x2="31250" y2="80762"/>
                      <a14:foregroundMark x1="41113" y1="67773" x2="37207" y2="93457"/>
                      <a14:foregroundMark x1="64844" y1="63770" x2="59082" y2="84961"/>
                      <a14:foregroundMark x1="59082" y1="84961" x2="73535" y2="97266"/>
                      <a14:foregroundMark x1="73535" y1="97266" x2="89648" y2="96973"/>
                      <a14:foregroundMark x1="89648" y1="96973" x2="87695" y2="79492"/>
                      <a14:foregroundMark x1="87695" y1="79492" x2="67578" y2="65723"/>
                      <a14:foregroundMark x1="69238" y1="81934" x2="69238" y2="81934"/>
                      <a14:foregroundMark x1="67188" y1="70898" x2="74805" y2="88379"/>
                      <a14:foregroundMark x1="74805" y1="88379" x2="78223" y2="75098"/>
                      <a14:foregroundMark x1="78223" y1="75098" x2="67578" y2="73633"/>
                      <a14:foregroundMark x1="56543" y1="74414" x2="48633" y2="88184"/>
                      <a14:foregroundMark x1="48633" y1="88184" x2="57617" y2="98145"/>
                      <a14:foregroundMark x1="57617" y1="98145" x2="60938" y2="84375"/>
                      <a14:foregroundMark x1="60938" y1="84375" x2="55371" y2="76855"/>
                      <a14:foregroundMark x1="46680" y1="93848" x2="46680" y2="93848"/>
                      <a14:foregroundMark x1="46680" y1="93457" x2="46680" y2="93457"/>
                      <a14:foregroundMark x1="28906" y1="87500" x2="28906" y2="87500"/>
                      <a14:foregroundMark x1="28906" y1="87500" x2="28906" y2="87500"/>
                      <a14:foregroundMark x1="90137" y1="83105" x2="90137" y2="83105"/>
                      <a14:foregroundMark x1="90918" y1="83496" x2="90918" y2="83496"/>
                      <a14:foregroundMark x1="47852" y1="93457" x2="47852" y2="93457"/>
                      <a14:foregroundMark x1="42285" y1="61816" x2="42285" y2="61816"/>
                      <a14:foregroundMark x1="52637" y1="8496" x2="52637" y2="8496"/>
                      <a14:foregroundMark x1="70801" y1="34180" x2="70801" y2="34180"/>
                      <a14:backgroundMark x1="38379" y1="63770" x2="38379" y2="63770"/>
                      <a14:backgroundMark x1="38770" y1="62988" x2="38770" y2="629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6280638" y="95250"/>
          <a:ext cx="1396512" cy="1401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85726</xdr:colOff>
      <xdr:row>52</xdr:row>
      <xdr:rowOff>180975</xdr:rowOff>
    </xdr:from>
    <xdr:to>
      <xdr:col>9</xdr:col>
      <xdr:colOff>256054</xdr:colOff>
      <xdr:row>56</xdr:row>
      <xdr:rowOff>57150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58053F5B-0E2C-4901-9DBB-4EE689A7A8DF}"/>
            </a:ext>
          </a:extLst>
        </xdr:cNvPr>
        <xdr:cNvSpPr/>
      </xdr:nvSpPr>
      <xdr:spPr>
        <a:xfrm>
          <a:off x="4352926" y="7629525"/>
          <a:ext cx="1389528" cy="514350"/>
        </a:xfrm>
        <a:prstGeom prst="round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>
              <a:solidFill>
                <a:schemeClr val="tx1"/>
              </a:solidFill>
            </a:rPr>
            <a:t>Solicitar preenchimento</a:t>
          </a:r>
          <a:endParaRPr lang="pt-BR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409575</xdr:colOff>
      <xdr:row>52</xdr:row>
      <xdr:rowOff>152399</xdr:rowOff>
    </xdr:from>
    <xdr:to>
      <xdr:col>12</xdr:col>
      <xdr:colOff>457200</xdr:colOff>
      <xdr:row>56</xdr:row>
      <xdr:rowOff>38099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2A7040B0-6B44-45F9-9B65-0C9B60C1C80D}"/>
            </a:ext>
          </a:extLst>
        </xdr:cNvPr>
        <xdr:cNvSpPr/>
      </xdr:nvSpPr>
      <xdr:spPr>
        <a:xfrm>
          <a:off x="5895975" y="7600949"/>
          <a:ext cx="1343025" cy="523875"/>
        </a:xfrm>
        <a:prstGeom prst="round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>
              <a:solidFill>
                <a:schemeClr val="tx1"/>
              </a:solidFill>
            </a:rPr>
            <a:t>Salvar</a:t>
          </a:r>
          <a:endParaRPr lang="pt-BR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219075</xdr:colOff>
      <xdr:row>46</xdr:row>
      <xdr:rowOff>9525</xdr:rowOff>
    </xdr:from>
    <xdr:to>
      <xdr:col>16</xdr:col>
      <xdr:colOff>38100</xdr:colOff>
      <xdr:row>48</xdr:row>
      <xdr:rowOff>161925</xdr:rowOff>
    </xdr:to>
    <xdr:sp macro="" textlink="">
      <xdr:nvSpPr>
        <xdr:cNvPr id="3" name="Balão de Fala: Retângulo 2">
          <a:extLst>
            <a:ext uri="{FF2B5EF4-FFF2-40B4-BE49-F238E27FC236}">
              <a16:creationId xmlns:a16="http://schemas.microsoft.com/office/drawing/2014/main" id="{BC759A56-2836-455B-AD0F-DA5A9CED203C}"/>
            </a:ext>
          </a:extLst>
        </xdr:cNvPr>
        <xdr:cNvSpPr/>
      </xdr:nvSpPr>
      <xdr:spPr>
        <a:xfrm>
          <a:off x="11134725" y="6677025"/>
          <a:ext cx="1647825" cy="409575"/>
        </a:xfrm>
        <a:prstGeom prst="wedgeRectCallout">
          <a:avLst>
            <a:gd name="adj1" fmla="val -58983"/>
            <a:gd name="adj2" fmla="val 83431"/>
          </a:avLst>
        </a:prstGeom>
        <a:solidFill>
          <a:srgbClr val="FFFF00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ysClr val="windowText" lastClr="000000"/>
              </a:solidFill>
            </a:rPr>
            <a:t>Soma de todas as linhas acima</a:t>
          </a:r>
        </a:p>
      </xdr:txBody>
    </xdr:sp>
    <xdr:clientData/>
  </xdr:twoCellAnchor>
  <xdr:twoCellAnchor>
    <xdr:from>
      <xdr:col>13</xdr:col>
      <xdr:colOff>142875</xdr:colOff>
      <xdr:row>52</xdr:row>
      <xdr:rowOff>47624</xdr:rowOff>
    </xdr:from>
    <xdr:to>
      <xdr:col>17</xdr:col>
      <xdr:colOff>0</xdr:colOff>
      <xdr:row>55</xdr:row>
      <xdr:rowOff>171450</xdr:rowOff>
    </xdr:to>
    <xdr:sp macro="" textlink="">
      <xdr:nvSpPr>
        <xdr:cNvPr id="8" name="Balão de Fala: Retângulo 7">
          <a:extLst>
            <a:ext uri="{FF2B5EF4-FFF2-40B4-BE49-F238E27FC236}">
              <a16:creationId xmlns:a16="http://schemas.microsoft.com/office/drawing/2014/main" id="{76B371F3-95C8-4A2B-90DB-FF31E38C61D0}"/>
            </a:ext>
          </a:extLst>
        </xdr:cNvPr>
        <xdr:cNvSpPr/>
      </xdr:nvSpPr>
      <xdr:spPr>
        <a:xfrm>
          <a:off x="8010525" y="7496174"/>
          <a:ext cx="2295525" cy="571501"/>
        </a:xfrm>
        <a:prstGeom prst="wedgeRectCallout">
          <a:avLst>
            <a:gd name="adj1" fmla="val -65207"/>
            <a:gd name="adj2" fmla="val -64836"/>
          </a:avLst>
        </a:prstGeom>
        <a:solidFill>
          <a:srgbClr val="FFFF00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ysClr val="windowText" lastClr="000000"/>
              </a:solidFill>
            </a:rPr>
            <a:t>Quando o usuário "salvar" o sistema insere o total na célula "Gastos com vendas"</a:t>
          </a:r>
          <a:r>
            <a:rPr lang="pt-BR" sz="1000" baseline="0">
              <a:solidFill>
                <a:sysClr val="windowText" lastClr="000000"/>
              </a:solidFill>
            </a:rPr>
            <a:t> </a:t>
          </a:r>
          <a:r>
            <a:rPr lang="pt-BR" sz="1000">
              <a:solidFill>
                <a:sysClr val="windowText" lastClr="000000"/>
              </a:solidFill>
            </a:rPr>
            <a:t>na tela "Análise Mensal", </a:t>
          </a:r>
        </a:p>
      </xdr:txBody>
    </xdr:sp>
    <xdr:clientData/>
  </xdr:twoCellAnchor>
  <xdr:twoCellAnchor>
    <xdr:from>
      <xdr:col>14</xdr:col>
      <xdr:colOff>571500</xdr:colOff>
      <xdr:row>0</xdr:row>
      <xdr:rowOff>133350</xdr:rowOff>
    </xdr:from>
    <xdr:to>
      <xdr:col>18</xdr:col>
      <xdr:colOff>364250</xdr:colOff>
      <xdr:row>6</xdr:row>
      <xdr:rowOff>171451</xdr:rowOff>
    </xdr:to>
    <xdr:sp macro="" textlink="">
      <xdr:nvSpPr>
        <xdr:cNvPr id="6" name="Balão de Fala: Retângulo 5">
          <a:extLst>
            <a:ext uri="{FF2B5EF4-FFF2-40B4-BE49-F238E27FC236}">
              <a16:creationId xmlns:a16="http://schemas.microsoft.com/office/drawing/2014/main" id="{E83D74A3-5816-4639-9B95-73CFACC2A481}"/>
            </a:ext>
          </a:extLst>
        </xdr:cNvPr>
        <xdr:cNvSpPr/>
      </xdr:nvSpPr>
      <xdr:spPr>
        <a:xfrm>
          <a:off x="9048750" y="133350"/>
          <a:ext cx="2231150" cy="1190626"/>
        </a:xfrm>
        <a:prstGeom prst="wedgeRectCallout">
          <a:avLst>
            <a:gd name="adj1" fmla="val -124572"/>
            <a:gd name="adj2" fmla="val 30465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200">
              <a:solidFill>
                <a:schemeClr val="tx1"/>
              </a:solidFill>
            </a:rPr>
            <a:t>Se o usuário clicar, abre o formulário para cadastrar a pessoa que irá preencher os custos fixos, com acesso limitado às</a:t>
          </a:r>
          <a:r>
            <a:rPr lang="pt-BR" sz="1200" baseline="0">
              <a:solidFill>
                <a:schemeClr val="tx1"/>
              </a:solidFill>
            </a:rPr>
            <a:t> telas dos custos variáveis e dos fixos</a:t>
          </a:r>
          <a:endParaRPr lang="pt-BR" sz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590550</xdr:colOff>
      <xdr:row>8</xdr:row>
      <xdr:rowOff>123825</xdr:rowOff>
    </xdr:from>
    <xdr:to>
      <xdr:col>18</xdr:col>
      <xdr:colOff>383300</xdr:colOff>
      <xdr:row>14</xdr:row>
      <xdr:rowOff>85726</xdr:rowOff>
    </xdr:to>
    <xdr:sp macro="" textlink="">
      <xdr:nvSpPr>
        <xdr:cNvPr id="9" name="Balão de Fala: Retângulo 8">
          <a:extLst>
            <a:ext uri="{FF2B5EF4-FFF2-40B4-BE49-F238E27FC236}">
              <a16:creationId xmlns:a16="http://schemas.microsoft.com/office/drawing/2014/main" id="{66F37EFE-DBE1-4B4A-8B2E-B1C94AE6D567}"/>
            </a:ext>
          </a:extLst>
        </xdr:cNvPr>
        <xdr:cNvSpPr/>
      </xdr:nvSpPr>
      <xdr:spPr>
        <a:xfrm>
          <a:off x="9067800" y="1657350"/>
          <a:ext cx="2231150" cy="857251"/>
        </a:xfrm>
        <a:prstGeom prst="wedgeRectCallout">
          <a:avLst>
            <a:gd name="adj1" fmla="val -122437"/>
            <a:gd name="adj2" fmla="val -52868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200">
              <a:solidFill>
                <a:schemeClr val="tx1"/>
              </a:solidFill>
            </a:rPr>
            <a:t>Sempre que o usuário selecionar um mês na tela Análise Mensal, abre uma coluna para as anotações correspondentes.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0</xdr:row>
      <xdr:rowOff>0</xdr:rowOff>
    </xdr:from>
    <xdr:to>
      <xdr:col>7</xdr:col>
      <xdr:colOff>200025</xdr:colOff>
      <xdr:row>5</xdr:row>
      <xdr:rowOff>156206</xdr:rowOff>
    </xdr:to>
    <xdr:pic>
      <xdr:nvPicPr>
        <xdr:cNvPr id="3" name="Picture 4" descr="Generated image">
          <a:extLst>
            <a:ext uri="{FF2B5EF4-FFF2-40B4-BE49-F238E27FC236}">
              <a16:creationId xmlns:a16="http://schemas.microsoft.com/office/drawing/2014/main" id="{D8642490-B7C3-4DE7-93F1-DBC6FF56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496" b="98145" l="9961" r="90918">
                      <a14:foregroundMark x1="49414" y1="49609" x2="49414" y2="49609"/>
                      <a14:foregroundMark x1="49414" y1="49609" x2="49414" y2="49609"/>
                      <a14:foregroundMark x1="35645" y1="74805" x2="35645" y2="74805"/>
                      <a14:foregroundMark x1="35645" y1="74805" x2="35645" y2="74805"/>
                      <a14:foregroundMark x1="73145" y1="84766" x2="73145" y2="84766"/>
                      <a14:foregroundMark x1="34863" y1="72070" x2="34863" y2="72070"/>
                      <a14:foregroundMark x1="32813" y1="68945" x2="31250" y2="80762"/>
                      <a14:foregroundMark x1="41113" y1="67773" x2="37207" y2="93457"/>
                      <a14:foregroundMark x1="64844" y1="63770" x2="59082" y2="84961"/>
                      <a14:foregroundMark x1="59082" y1="84961" x2="73535" y2="97266"/>
                      <a14:foregroundMark x1="73535" y1="97266" x2="89648" y2="96973"/>
                      <a14:foregroundMark x1="89648" y1="96973" x2="87695" y2="79492"/>
                      <a14:foregroundMark x1="87695" y1="79492" x2="67578" y2="65723"/>
                      <a14:foregroundMark x1="69238" y1="81934" x2="69238" y2="81934"/>
                      <a14:foregroundMark x1="67188" y1="70898" x2="74805" y2="88379"/>
                      <a14:foregroundMark x1="74805" y1="88379" x2="78223" y2="75098"/>
                      <a14:foregroundMark x1="78223" y1="75098" x2="67578" y2="73633"/>
                      <a14:foregroundMark x1="56543" y1="74414" x2="48633" y2="88184"/>
                      <a14:foregroundMark x1="48633" y1="88184" x2="57617" y2="98145"/>
                      <a14:foregroundMark x1="57617" y1="98145" x2="60938" y2="84375"/>
                      <a14:foregroundMark x1="60938" y1="84375" x2="55371" y2="76855"/>
                      <a14:foregroundMark x1="46680" y1="93848" x2="46680" y2="93848"/>
                      <a14:foregroundMark x1="46680" y1="93457" x2="46680" y2="93457"/>
                      <a14:foregroundMark x1="28906" y1="87500" x2="28906" y2="87500"/>
                      <a14:foregroundMark x1="28906" y1="87500" x2="28906" y2="87500"/>
                      <a14:foregroundMark x1="90137" y1="83105" x2="90137" y2="83105"/>
                      <a14:foregroundMark x1="90918" y1="83496" x2="90918" y2="83496"/>
                      <a14:foregroundMark x1="47852" y1="93457" x2="47852" y2="93457"/>
                      <a14:foregroundMark x1="42285" y1="61816" x2="42285" y2="61816"/>
                      <a14:foregroundMark x1="52637" y1="8496" x2="52637" y2="8496"/>
                      <a14:foregroundMark x1="70801" y1="34180" x2="70801" y2="34180"/>
                      <a14:backgroundMark x1="38379" y1="63770" x2="38379" y2="63770"/>
                      <a14:backgroundMark x1="38770" y1="62988" x2="38770" y2="629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352800" y="0"/>
          <a:ext cx="1114425" cy="11182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180975</xdr:colOff>
      <xdr:row>39</xdr:row>
      <xdr:rowOff>161925</xdr:rowOff>
    </xdr:from>
    <xdr:to>
      <xdr:col>14</xdr:col>
      <xdr:colOff>76200</xdr:colOff>
      <xdr:row>41</xdr:row>
      <xdr:rowOff>190500</xdr:rowOff>
    </xdr:to>
    <xdr:sp macro="" textlink="">
      <xdr:nvSpPr>
        <xdr:cNvPr id="4" name="Balão de Fala: Retângulo 3">
          <a:extLst>
            <a:ext uri="{FF2B5EF4-FFF2-40B4-BE49-F238E27FC236}">
              <a16:creationId xmlns:a16="http://schemas.microsoft.com/office/drawing/2014/main" id="{1FD16B98-0295-30D7-14CC-765E1C584BE0}"/>
            </a:ext>
          </a:extLst>
        </xdr:cNvPr>
        <xdr:cNvSpPr/>
      </xdr:nvSpPr>
      <xdr:spPr>
        <a:xfrm>
          <a:off x="9086850" y="7038975"/>
          <a:ext cx="2943225" cy="409575"/>
        </a:xfrm>
        <a:prstGeom prst="wedgeRectCallout">
          <a:avLst>
            <a:gd name="adj1" fmla="val -58983"/>
            <a:gd name="adj2" fmla="val 83431"/>
          </a:avLst>
        </a:prstGeom>
        <a:solidFill>
          <a:srgbClr val="FFFF00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ysClr val="windowText" lastClr="000000"/>
              </a:solidFill>
            </a:rPr>
            <a:t>Soma de todas as linhas acima e o sistema preenche automaticamente no módulo "Análise Mensal"</a:t>
          </a:r>
        </a:p>
      </xdr:txBody>
    </xdr:sp>
    <xdr:clientData/>
  </xdr:twoCellAnchor>
  <xdr:twoCellAnchor>
    <xdr:from>
      <xdr:col>7</xdr:col>
      <xdr:colOff>800100</xdr:colOff>
      <xdr:row>44</xdr:row>
      <xdr:rowOff>161926</xdr:rowOff>
    </xdr:from>
    <xdr:to>
      <xdr:col>7</xdr:col>
      <xdr:colOff>2180103</xdr:colOff>
      <xdr:row>47</xdr:row>
      <xdr:rowOff>104776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FC2FC5EA-50C8-4947-ABAA-29D59DB20DA1}"/>
            </a:ext>
          </a:extLst>
        </xdr:cNvPr>
        <xdr:cNvSpPr/>
      </xdr:nvSpPr>
      <xdr:spPr>
        <a:xfrm>
          <a:off x="5067300" y="8458201"/>
          <a:ext cx="1380003" cy="514350"/>
        </a:xfrm>
        <a:prstGeom prst="round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>
              <a:solidFill>
                <a:schemeClr val="tx1"/>
              </a:solidFill>
            </a:rPr>
            <a:t>Solicitar preenchimento</a:t>
          </a:r>
          <a:endParaRPr lang="pt-BR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2428875</xdr:colOff>
      <xdr:row>44</xdr:row>
      <xdr:rowOff>152400</xdr:rowOff>
    </xdr:from>
    <xdr:to>
      <xdr:col>8</xdr:col>
      <xdr:colOff>333375</xdr:colOff>
      <xdr:row>47</xdr:row>
      <xdr:rowOff>104775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09173C37-839F-4867-A58F-5FFE52AD14B2}"/>
            </a:ext>
          </a:extLst>
        </xdr:cNvPr>
        <xdr:cNvSpPr/>
      </xdr:nvSpPr>
      <xdr:spPr>
        <a:xfrm>
          <a:off x="5476875" y="8020050"/>
          <a:ext cx="1343025" cy="523875"/>
        </a:xfrm>
        <a:prstGeom prst="round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>
              <a:solidFill>
                <a:schemeClr val="tx1"/>
              </a:solidFill>
            </a:rPr>
            <a:t>Salvar</a:t>
          </a:r>
          <a:endParaRPr lang="pt-BR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19050</xdr:colOff>
      <xdr:row>0</xdr:row>
      <xdr:rowOff>104774</xdr:rowOff>
    </xdr:from>
    <xdr:to>
      <xdr:col>14</xdr:col>
      <xdr:colOff>421400</xdr:colOff>
      <xdr:row>6</xdr:row>
      <xdr:rowOff>142875</xdr:rowOff>
    </xdr:to>
    <xdr:sp macro="" textlink="">
      <xdr:nvSpPr>
        <xdr:cNvPr id="7" name="Balão de Fala: Retângulo 6">
          <a:extLst>
            <a:ext uri="{FF2B5EF4-FFF2-40B4-BE49-F238E27FC236}">
              <a16:creationId xmlns:a16="http://schemas.microsoft.com/office/drawing/2014/main" id="{4D2B5E7F-C7B2-E647-E36B-8B2085AC2926}"/>
            </a:ext>
          </a:extLst>
        </xdr:cNvPr>
        <xdr:cNvSpPr/>
      </xdr:nvSpPr>
      <xdr:spPr>
        <a:xfrm>
          <a:off x="10144125" y="104774"/>
          <a:ext cx="2231150" cy="1190626"/>
        </a:xfrm>
        <a:prstGeom prst="wedgeRectCallout">
          <a:avLst>
            <a:gd name="adj1" fmla="val -116034"/>
            <a:gd name="adj2" fmla="val -29535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200">
              <a:solidFill>
                <a:schemeClr val="tx1"/>
              </a:solidFill>
            </a:rPr>
            <a:t>Se o usuário clicar, abre o formulário para cadastrar a pessoa que irá preencher os custos fixos, com acesso limitado às</a:t>
          </a:r>
          <a:r>
            <a:rPr lang="pt-BR" sz="1200" baseline="0">
              <a:solidFill>
                <a:schemeClr val="tx1"/>
              </a:solidFill>
            </a:rPr>
            <a:t> telas dos custos variáveis e dos fixos</a:t>
          </a:r>
          <a:endParaRPr lang="pt-BR" sz="12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9525</xdr:colOff>
      <xdr:row>7</xdr:row>
      <xdr:rowOff>95249</xdr:rowOff>
    </xdr:from>
    <xdr:to>
      <xdr:col>14</xdr:col>
      <xdr:colOff>411875</xdr:colOff>
      <xdr:row>12</xdr:row>
      <xdr:rowOff>0</xdr:rowOff>
    </xdr:to>
    <xdr:sp macro="" textlink="">
      <xdr:nvSpPr>
        <xdr:cNvPr id="8" name="Balão de Fala: Retângulo 7">
          <a:extLst>
            <a:ext uri="{FF2B5EF4-FFF2-40B4-BE49-F238E27FC236}">
              <a16:creationId xmlns:a16="http://schemas.microsoft.com/office/drawing/2014/main" id="{9E573C21-8D04-42D4-A5DE-F499BA470EAD}"/>
            </a:ext>
          </a:extLst>
        </xdr:cNvPr>
        <xdr:cNvSpPr/>
      </xdr:nvSpPr>
      <xdr:spPr>
        <a:xfrm>
          <a:off x="10134600" y="1447799"/>
          <a:ext cx="2231150" cy="857251"/>
        </a:xfrm>
        <a:prstGeom prst="wedgeRectCallout">
          <a:avLst>
            <a:gd name="adj1" fmla="val -123718"/>
            <a:gd name="adj2" fmla="val -70646"/>
          </a:avLst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t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pt-BR" sz="1200">
              <a:solidFill>
                <a:schemeClr val="tx1"/>
              </a:solidFill>
            </a:rPr>
            <a:t>Sempre que o usuário selecionar um mês na tela Análise Mensal, abre uma coluna para as anotações correspondentes.</a:t>
          </a:r>
        </a:p>
      </xdr:txBody>
    </xdr:sp>
    <xdr:clientData/>
  </xdr:twoCellAnchor>
  <xdr:twoCellAnchor>
    <xdr:from>
      <xdr:col>9</xdr:col>
      <xdr:colOff>333375</xdr:colOff>
      <xdr:row>44</xdr:row>
      <xdr:rowOff>104775</xdr:rowOff>
    </xdr:from>
    <xdr:to>
      <xdr:col>13</xdr:col>
      <xdr:colOff>190500</xdr:colOff>
      <xdr:row>47</xdr:row>
      <xdr:rowOff>104776</xdr:rowOff>
    </xdr:to>
    <xdr:sp macro="" textlink="">
      <xdr:nvSpPr>
        <xdr:cNvPr id="9" name="Balão de Fala: Retângulo 8">
          <a:extLst>
            <a:ext uri="{FF2B5EF4-FFF2-40B4-BE49-F238E27FC236}">
              <a16:creationId xmlns:a16="http://schemas.microsoft.com/office/drawing/2014/main" id="{DF3F6098-7E9C-4FC5-95D2-8E55246C1B7F}"/>
            </a:ext>
          </a:extLst>
        </xdr:cNvPr>
        <xdr:cNvSpPr/>
      </xdr:nvSpPr>
      <xdr:spPr>
        <a:xfrm>
          <a:off x="9239250" y="8401050"/>
          <a:ext cx="2295525" cy="571501"/>
        </a:xfrm>
        <a:prstGeom prst="wedgeRectCallout">
          <a:avLst>
            <a:gd name="adj1" fmla="val -76825"/>
            <a:gd name="adj2" fmla="val -78169"/>
          </a:avLst>
        </a:prstGeom>
        <a:solidFill>
          <a:srgbClr val="FFFF00"/>
        </a:solidFill>
        <a:ln>
          <a:solidFill>
            <a:schemeClr val="bg2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00">
              <a:solidFill>
                <a:sysClr val="windowText" lastClr="000000"/>
              </a:solidFill>
            </a:rPr>
            <a:t>Quando o usuário "salvar" o sistema insere o total na célula "Custos</a:t>
          </a:r>
          <a:r>
            <a:rPr lang="pt-BR" sz="1000" baseline="0">
              <a:solidFill>
                <a:sysClr val="windowText" lastClr="000000"/>
              </a:solidFill>
            </a:rPr>
            <a:t> Fixos</a:t>
          </a:r>
          <a:r>
            <a:rPr lang="pt-BR" sz="1000">
              <a:solidFill>
                <a:sysClr val="windowText" lastClr="000000"/>
              </a:solidFill>
            </a:rPr>
            <a:t>"</a:t>
          </a:r>
          <a:r>
            <a:rPr lang="pt-BR" sz="1000" baseline="0">
              <a:solidFill>
                <a:sysClr val="windowText" lastClr="000000"/>
              </a:solidFill>
            </a:rPr>
            <a:t> </a:t>
          </a:r>
          <a:r>
            <a:rPr lang="pt-BR" sz="1000">
              <a:solidFill>
                <a:sysClr val="windowText" lastClr="000000"/>
              </a:solidFill>
            </a:rPr>
            <a:t>na tela "Análise Mensal",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45</xdr:row>
      <xdr:rowOff>152400</xdr:rowOff>
    </xdr:from>
    <xdr:to>
      <xdr:col>10</xdr:col>
      <xdr:colOff>533960</xdr:colOff>
      <xdr:row>47</xdr:row>
      <xdr:rowOff>173411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F000278B-5149-47AD-90AD-84C20D4EBC0B}"/>
            </a:ext>
          </a:extLst>
        </xdr:cNvPr>
        <xdr:cNvSpPr/>
      </xdr:nvSpPr>
      <xdr:spPr>
        <a:xfrm>
          <a:off x="5572125" y="7391400"/>
          <a:ext cx="1057835" cy="402011"/>
        </a:xfrm>
        <a:prstGeom prst="round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400" b="1">
              <a:solidFill>
                <a:schemeClr val="tx1"/>
              </a:solidFill>
            </a:rPr>
            <a:t>Retornar</a:t>
          </a:r>
        </a:p>
      </xdr:txBody>
    </xdr:sp>
    <xdr:clientData/>
  </xdr:twoCellAnchor>
  <xdr:twoCellAnchor editAs="oneCell">
    <xdr:from>
      <xdr:col>5</xdr:col>
      <xdr:colOff>114300</xdr:colOff>
      <xdr:row>1</xdr:row>
      <xdr:rowOff>47625</xdr:rowOff>
    </xdr:from>
    <xdr:to>
      <xdr:col>7</xdr:col>
      <xdr:colOff>291612</xdr:colOff>
      <xdr:row>10</xdr:row>
      <xdr:rowOff>1106</xdr:rowOff>
    </xdr:to>
    <xdr:pic>
      <xdr:nvPicPr>
        <xdr:cNvPr id="3" name="Picture 4" descr="Generated image">
          <a:extLst>
            <a:ext uri="{FF2B5EF4-FFF2-40B4-BE49-F238E27FC236}">
              <a16:creationId xmlns:a16="http://schemas.microsoft.com/office/drawing/2014/main" id="{01E27C9A-8F8F-4F00-8697-F91DCE4AB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8496" b="98145" l="9961" r="90918">
                      <a14:foregroundMark x1="49414" y1="49609" x2="49414" y2="49609"/>
                      <a14:foregroundMark x1="49414" y1="49609" x2="49414" y2="49609"/>
                      <a14:foregroundMark x1="35645" y1="74805" x2="35645" y2="74805"/>
                      <a14:foregroundMark x1="35645" y1="74805" x2="35645" y2="74805"/>
                      <a14:foregroundMark x1="73145" y1="84766" x2="73145" y2="84766"/>
                      <a14:foregroundMark x1="34863" y1="72070" x2="34863" y2="72070"/>
                      <a14:foregroundMark x1="32813" y1="68945" x2="31250" y2="80762"/>
                      <a14:foregroundMark x1="41113" y1="67773" x2="37207" y2="93457"/>
                      <a14:foregroundMark x1="64844" y1="63770" x2="59082" y2="84961"/>
                      <a14:foregroundMark x1="59082" y1="84961" x2="73535" y2="97266"/>
                      <a14:foregroundMark x1="73535" y1="97266" x2="89648" y2="96973"/>
                      <a14:foregroundMark x1="89648" y1="96973" x2="87695" y2="79492"/>
                      <a14:foregroundMark x1="87695" y1="79492" x2="67578" y2="65723"/>
                      <a14:foregroundMark x1="69238" y1="81934" x2="69238" y2="81934"/>
                      <a14:foregroundMark x1="67188" y1="70898" x2="74805" y2="88379"/>
                      <a14:foregroundMark x1="74805" y1="88379" x2="78223" y2="75098"/>
                      <a14:foregroundMark x1="78223" y1="75098" x2="67578" y2="73633"/>
                      <a14:foregroundMark x1="56543" y1="74414" x2="48633" y2="88184"/>
                      <a14:foregroundMark x1="48633" y1="88184" x2="57617" y2="98145"/>
                      <a14:foregroundMark x1="57617" y1="98145" x2="60938" y2="84375"/>
                      <a14:foregroundMark x1="60938" y1="84375" x2="55371" y2="76855"/>
                      <a14:foregroundMark x1="46680" y1="93848" x2="46680" y2="93848"/>
                      <a14:foregroundMark x1="46680" y1="93457" x2="46680" y2="93457"/>
                      <a14:foregroundMark x1="28906" y1="87500" x2="28906" y2="87500"/>
                      <a14:foregroundMark x1="28906" y1="87500" x2="28906" y2="87500"/>
                      <a14:foregroundMark x1="90137" y1="83105" x2="90137" y2="83105"/>
                      <a14:foregroundMark x1="90918" y1="83496" x2="90918" y2="83496"/>
                      <a14:foregroundMark x1="47852" y1="93457" x2="47852" y2="93457"/>
                      <a14:foregroundMark x1="42285" y1="61816" x2="42285" y2="61816"/>
                      <a14:foregroundMark x1="52637" y1="8496" x2="52637" y2="8496"/>
                      <a14:foregroundMark x1="70801" y1="34180" x2="70801" y2="34180"/>
                      <a14:backgroundMark x1="38379" y1="63770" x2="38379" y2="63770"/>
                      <a14:backgroundMark x1="38770" y1="62988" x2="38770" y2="629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3162300" y="238125"/>
          <a:ext cx="1396512" cy="14012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419100</xdr:colOff>
      <xdr:row>10</xdr:row>
      <xdr:rowOff>28575</xdr:rowOff>
    </xdr:from>
    <xdr:to>
      <xdr:col>8</xdr:col>
      <xdr:colOff>571500</xdr:colOff>
      <xdr:row>10</xdr:row>
      <xdr:rowOff>171450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BA6241D0-9B74-BC4F-97B4-F8BB24149890}"/>
            </a:ext>
          </a:extLst>
        </xdr:cNvPr>
        <xdr:cNvSpPr/>
      </xdr:nvSpPr>
      <xdr:spPr>
        <a:xfrm>
          <a:off x="5295900" y="1666875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533400</xdr:colOff>
      <xdr:row>15</xdr:row>
      <xdr:rowOff>66675</xdr:rowOff>
    </xdr:from>
    <xdr:to>
      <xdr:col>6</xdr:col>
      <xdr:colOff>190500</xdr:colOff>
      <xdr:row>17</xdr:row>
      <xdr:rowOff>9525</xdr:rowOff>
    </xdr:to>
    <xdr:sp macro="" textlink="">
      <xdr:nvSpPr>
        <xdr:cNvPr id="7" name="Balão de Fala: Retângulo 6">
          <a:extLst>
            <a:ext uri="{FF2B5EF4-FFF2-40B4-BE49-F238E27FC236}">
              <a16:creationId xmlns:a16="http://schemas.microsoft.com/office/drawing/2014/main" id="{275EE141-D5CB-0B18-8442-C7EC95DE1711}"/>
            </a:ext>
          </a:extLst>
        </xdr:cNvPr>
        <xdr:cNvSpPr/>
      </xdr:nvSpPr>
      <xdr:spPr>
        <a:xfrm>
          <a:off x="2971800" y="2524125"/>
          <a:ext cx="876300" cy="323850"/>
        </a:xfrm>
        <a:prstGeom prst="wedgeRectCallout">
          <a:avLst>
            <a:gd name="adj1" fmla="val 70242"/>
            <a:gd name="adj2" fmla="val -220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ysClr val="windowText" lastClr="000000"/>
              </a:solidFill>
            </a:rPr>
            <a:t>Se</a:t>
          </a:r>
          <a:r>
            <a:rPr lang="pt-BR" sz="1100" baseline="0">
              <a:solidFill>
                <a:sysClr val="windowText" lastClr="000000"/>
              </a:solidFill>
            </a:rPr>
            <a:t> "MAIOR" 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419100</xdr:colOff>
      <xdr:row>11</xdr:row>
      <xdr:rowOff>19050</xdr:rowOff>
    </xdr:from>
    <xdr:to>
      <xdr:col>8</xdr:col>
      <xdr:colOff>571500</xdr:colOff>
      <xdr:row>11</xdr:row>
      <xdr:rowOff>161925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320D3E9E-7BB0-4677-963B-4D1496F3A070}"/>
            </a:ext>
          </a:extLst>
        </xdr:cNvPr>
        <xdr:cNvSpPr/>
      </xdr:nvSpPr>
      <xdr:spPr>
        <a:xfrm>
          <a:off x="5295900" y="1847850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438150</xdr:colOff>
      <xdr:row>14</xdr:row>
      <xdr:rowOff>28575</xdr:rowOff>
    </xdr:from>
    <xdr:to>
      <xdr:col>7</xdr:col>
      <xdr:colOff>590550</xdr:colOff>
      <xdr:row>14</xdr:row>
      <xdr:rowOff>171450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F5A4F04D-7065-4543-A10D-457134BF1865}"/>
            </a:ext>
          </a:extLst>
        </xdr:cNvPr>
        <xdr:cNvSpPr/>
      </xdr:nvSpPr>
      <xdr:spPr>
        <a:xfrm>
          <a:off x="4705350" y="2295525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447675</xdr:colOff>
      <xdr:row>16</xdr:row>
      <xdr:rowOff>19050</xdr:rowOff>
    </xdr:from>
    <xdr:to>
      <xdr:col>7</xdr:col>
      <xdr:colOff>600075</xdr:colOff>
      <xdr:row>16</xdr:row>
      <xdr:rowOff>161925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1A42F943-EA5E-4725-8A6A-84C78A5D9DC2}"/>
            </a:ext>
          </a:extLst>
        </xdr:cNvPr>
        <xdr:cNvSpPr/>
      </xdr:nvSpPr>
      <xdr:spPr>
        <a:xfrm>
          <a:off x="4714875" y="2724150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266701</xdr:colOff>
      <xdr:row>13</xdr:row>
      <xdr:rowOff>47625</xdr:rowOff>
    </xdr:from>
    <xdr:to>
      <xdr:col>6</xdr:col>
      <xdr:colOff>550545</xdr:colOff>
      <xdr:row>20</xdr:row>
      <xdr:rowOff>0</xdr:rowOff>
    </xdr:to>
    <xdr:sp macro="" textlink="">
      <xdr:nvSpPr>
        <xdr:cNvPr id="12" name="Chave Esquerda 11">
          <a:extLst>
            <a:ext uri="{FF2B5EF4-FFF2-40B4-BE49-F238E27FC236}">
              <a16:creationId xmlns:a16="http://schemas.microsoft.com/office/drawing/2014/main" id="{2BB51C4D-E6F1-54A4-C348-6AF21CBB6A9A}"/>
            </a:ext>
          </a:extLst>
        </xdr:cNvPr>
        <xdr:cNvSpPr/>
      </xdr:nvSpPr>
      <xdr:spPr>
        <a:xfrm>
          <a:off x="3924301" y="2124075"/>
          <a:ext cx="283844" cy="1152525"/>
        </a:xfrm>
        <a:prstGeom prst="leftBrac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438150</xdr:colOff>
      <xdr:row>22</xdr:row>
      <xdr:rowOff>28575</xdr:rowOff>
    </xdr:from>
    <xdr:to>
      <xdr:col>7</xdr:col>
      <xdr:colOff>590550</xdr:colOff>
      <xdr:row>22</xdr:row>
      <xdr:rowOff>171450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D1944C69-C9C5-4BE9-8A15-6F3EECE74503}"/>
            </a:ext>
          </a:extLst>
        </xdr:cNvPr>
        <xdr:cNvSpPr/>
      </xdr:nvSpPr>
      <xdr:spPr>
        <a:xfrm>
          <a:off x="4705350" y="3552825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438150</xdr:colOff>
      <xdr:row>25</xdr:row>
      <xdr:rowOff>28575</xdr:rowOff>
    </xdr:from>
    <xdr:to>
      <xdr:col>7</xdr:col>
      <xdr:colOff>590550</xdr:colOff>
      <xdr:row>25</xdr:row>
      <xdr:rowOff>171450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BB6A7490-E7E2-43E2-99E6-1C3C60A98154}"/>
            </a:ext>
          </a:extLst>
        </xdr:cNvPr>
        <xdr:cNvSpPr/>
      </xdr:nvSpPr>
      <xdr:spPr>
        <a:xfrm>
          <a:off x="4705350" y="3990975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447675</xdr:colOff>
      <xdr:row>28</xdr:row>
      <xdr:rowOff>19050</xdr:rowOff>
    </xdr:from>
    <xdr:to>
      <xdr:col>7</xdr:col>
      <xdr:colOff>600075</xdr:colOff>
      <xdr:row>28</xdr:row>
      <xdr:rowOff>161925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25A214DC-D456-4629-97BB-A6514C768218}"/>
            </a:ext>
          </a:extLst>
        </xdr:cNvPr>
        <xdr:cNvSpPr/>
      </xdr:nvSpPr>
      <xdr:spPr>
        <a:xfrm>
          <a:off x="4714875" y="4419600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438150</xdr:colOff>
      <xdr:row>32</xdr:row>
      <xdr:rowOff>28575</xdr:rowOff>
    </xdr:from>
    <xdr:to>
      <xdr:col>7</xdr:col>
      <xdr:colOff>590550</xdr:colOff>
      <xdr:row>32</xdr:row>
      <xdr:rowOff>171450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D8865F09-6C2F-4666-997F-C833C4C632FB}"/>
            </a:ext>
          </a:extLst>
        </xdr:cNvPr>
        <xdr:cNvSpPr/>
      </xdr:nvSpPr>
      <xdr:spPr>
        <a:xfrm>
          <a:off x="4705350" y="5057775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447675</xdr:colOff>
      <xdr:row>36</xdr:row>
      <xdr:rowOff>28575</xdr:rowOff>
    </xdr:from>
    <xdr:to>
      <xdr:col>7</xdr:col>
      <xdr:colOff>600075</xdr:colOff>
      <xdr:row>36</xdr:row>
      <xdr:rowOff>171450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FFF0ECC0-2713-41B9-903B-F3D393FD2E32}"/>
            </a:ext>
          </a:extLst>
        </xdr:cNvPr>
        <xdr:cNvSpPr/>
      </xdr:nvSpPr>
      <xdr:spPr>
        <a:xfrm>
          <a:off x="4714875" y="5686425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285751</xdr:colOff>
      <xdr:row>21</xdr:row>
      <xdr:rowOff>38100</xdr:rowOff>
    </xdr:from>
    <xdr:to>
      <xdr:col>6</xdr:col>
      <xdr:colOff>569595</xdr:colOff>
      <xdr:row>38</xdr:row>
      <xdr:rowOff>171450</xdr:rowOff>
    </xdr:to>
    <xdr:sp macro="" textlink="">
      <xdr:nvSpPr>
        <xdr:cNvPr id="18" name="Chave Esquerda 17">
          <a:extLst>
            <a:ext uri="{FF2B5EF4-FFF2-40B4-BE49-F238E27FC236}">
              <a16:creationId xmlns:a16="http://schemas.microsoft.com/office/drawing/2014/main" id="{E7FCD4BD-83E9-40B5-8EA0-B62F0D0DFE12}"/>
            </a:ext>
          </a:extLst>
        </xdr:cNvPr>
        <xdr:cNvSpPr/>
      </xdr:nvSpPr>
      <xdr:spPr>
        <a:xfrm>
          <a:off x="3943351" y="3371850"/>
          <a:ext cx="283844" cy="2838450"/>
        </a:xfrm>
        <a:prstGeom prst="leftBrac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428625</xdr:colOff>
      <xdr:row>29</xdr:row>
      <xdr:rowOff>38100</xdr:rowOff>
    </xdr:from>
    <xdr:to>
      <xdr:col>6</xdr:col>
      <xdr:colOff>161925</xdr:colOff>
      <xdr:row>30</xdr:row>
      <xdr:rowOff>171450</xdr:rowOff>
    </xdr:to>
    <xdr:sp macro="" textlink="">
      <xdr:nvSpPr>
        <xdr:cNvPr id="19" name="Balão de Fala: Retângulo 18">
          <a:extLst>
            <a:ext uri="{FF2B5EF4-FFF2-40B4-BE49-F238E27FC236}">
              <a16:creationId xmlns:a16="http://schemas.microsoft.com/office/drawing/2014/main" id="{B3721016-8424-4C96-ABAC-95B9B773D9B2}"/>
            </a:ext>
          </a:extLst>
        </xdr:cNvPr>
        <xdr:cNvSpPr/>
      </xdr:nvSpPr>
      <xdr:spPr>
        <a:xfrm>
          <a:off x="2867025" y="4629150"/>
          <a:ext cx="952500" cy="323850"/>
        </a:xfrm>
        <a:prstGeom prst="wedgeRectCallout">
          <a:avLst>
            <a:gd name="adj1" fmla="val 70242"/>
            <a:gd name="adj2" fmla="val -2206"/>
          </a:avLst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100">
              <a:solidFill>
                <a:sysClr val="windowText" lastClr="000000"/>
              </a:solidFill>
            </a:rPr>
            <a:t>Se</a:t>
          </a:r>
          <a:r>
            <a:rPr lang="pt-BR" sz="1100" baseline="0">
              <a:solidFill>
                <a:sysClr val="windowText" lastClr="000000"/>
              </a:solidFill>
            </a:rPr>
            <a:t> "MENOR" </a:t>
          </a:r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333375</xdr:colOff>
      <xdr:row>38</xdr:row>
      <xdr:rowOff>57150</xdr:rowOff>
    </xdr:from>
    <xdr:to>
      <xdr:col>5</xdr:col>
      <xdr:colOff>485775</xdr:colOff>
      <xdr:row>39</xdr:row>
      <xdr:rowOff>9525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7B467BEC-8256-4047-A69B-19460FF59A94}"/>
            </a:ext>
          </a:extLst>
        </xdr:cNvPr>
        <xdr:cNvSpPr/>
      </xdr:nvSpPr>
      <xdr:spPr>
        <a:xfrm>
          <a:off x="3381375" y="6096000"/>
          <a:ext cx="152400" cy="142875"/>
        </a:xfrm>
        <a:prstGeom prst="ellipse">
          <a:avLst/>
        </a:prstGeom>
        <a:solidFill>
          <a:schemeClr val="bg2"/>
        </a:solidFill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B4F3-1DE4-4FA4-BB48-96F11EE020CA}">
  <dimension ref="A1:W251"/>
  <sheetViews>
    <sheetView topLeftCell="A48" zoomScale="118" zoomScaleNormal="118" workbookViewId="0">
      <selection activeCell="I58" sqref="I58:M58"/>
    </sheetView>
  </sheetViews>
  <sheetFormatPr defaultRowHeight="15" x14ac:dyDescent="0.25"/>
  <cols>
    <col min="3" max="3" width="13.140625" customWidth="1"/>
    <col min="4" max="4" width="19.85546875" customWidth="1"/>
    <col min="5" max="5" width="12.140625" style="12" bestFit="1" customWidth="1"/>
    <col min="6" max="6" width="13.42578125" style="6" bestFit="1" customWidth="1"/>
    <col min="7" max="7" width="9.140625" style="5"/>
    <col min="8" max="8" width="12" style="50" customWidth="1"/>
    <col min="9" max="10" width="9.140625" style="50"/>
    <col min="11" max="11" width="10.140625" style="50" customWidth="1"/>
    <col min="12" max="13" width="9.140625" style="50"/>
    <col min="15" max="15" width="11.7109375" style="5" bestFit="1" customWidth="1"/>
  </cols>
  <sheetData>
    <row r="1" spans="1:23" ht="15" customHeight="1" x14ac:dyDescent="0.25">
      <c r="A1" s="110" t="s">
        <v>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</row>
    <row r="2" spans="1:23" x14ac:dyDescent="0.25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</row>
    <row r="3" spans="1:23" ht="21" x14ac:dyDescent="0.35">
      <c r="A3" s="117" t="s">
        <v>105</v>
      </c>
      <c r="B3" s="117"/>
      <c r="C3" s="117"/>
      <c r="D3" s="117"/>
      <c r="E3" s="117"/>
      <c r="H3" s="94" t="s">
        <v>0</v>
      </c>
      <c r="I3" s="94"/>
      <c r="J3" s="94"/>
      <c r="K3" s="94"/>
      <c r="L3" s="94"/>
      <c r="M3" s="94"/>
    </row>
    <row r="4" spans="1:23" x14ac:dyDescent="0.25">
      <c r="A4" s="117"/>
      <c r="B4" s="117"/>
      <c r="C4" s="117"/>
      <c r="D4" s="117"/>
      <c r="E4" s="117"/>
      <c r="H4" s="97" t="s">
        <v>71</v>
      </c>
      <c r="I4" s="97"/>
      <c r="J4" s="97"/>
      <c r="K4" s="97"/>
      <c r="L4" s="97"/>
      <c r="M4" s="97"/>
    </row>
    <row r="5" spans="1:23" ht="15" customHeight="1" x14ac:dyDescent="0.25">
      <c r="A5" s="117"/>
      <c r="B5" s="117"/>
      <c r="C5" s="117"/>
      <c r="D5" s="117"/>
      <c r="E5" s="117"/>
      <c r="H5" s="97"/>
      <c r="I5" s="97"/>
      <c r="J5" s="97"/>
      <c r="K5" s="97"/>
      <c r="L5" s="97"/>
      <c r="M5" s="97"/>
      <c r="N5" s="3"/>
      <c r="P5" s="3"/>
      <c r="Q5" s="3"/>
      <c r="R5" s="3"/>
      <c r="S5" s="3"/>
    </row>
    <row r="6" spans="1:23" ht="15" customHeight="1" x14ac:dyDescent="0.25">
      <c r="A6" s="35"/>
      <c r="B6" s="36"/>
      <c r="C6" s="36"/>
      <c r="D6" s="36"/>
      <c r="H6" s="74" t="s">
        <v>123</v>
      </c>
      <c r="I6" s="74"/>
      <c r="J6" s="74"/>
      <c r="K6" s="74"/>
      <c r="L6" s="74"/>
      <c r="M6" s="74"/>
      <c r="N6" s="3"/>
      <c r="P6" s="3"/>
      <c r="Q6" s="3"/>
      <c r="R6" s="3"/>
      <c r="S6" s="3"/>
    </row>
    <row r="7" spans="1:23" ht="15" customHeight="1" thickBot="1" x14ac:dyDescent="0.3">
      <c r="H7" s="74"/>
      <c r="I7" s="74"/>
      <c r="J7" s="74"/>
      <c r="K7" s="74"/>
      <c r="L7" s="74"/>
      <c r="M7" s="74"/>
      <c r="N7" s="3"/>
      <c r="P7" s="3"/>
      <c r="Q7" s="3"/>
      <c r="R7" s="3"/>
      <c r="S7" s="3"/>
    </row>
    <row r="8" spans="1:23" ht="15" customHeight="1" thickBot="1" x14ac:dyDescent="0.3">
      <c r="A8" s="111" t="s">
        <v>2</v>
      </c>
      <c r="B8" s="112"/>
      <c r="C8" s="112"/>
      <c r="D8" s="112"/>
      <c r="E8" s="113"/>
      <c r="H8" s="74"/>
      <c r="I8" s="74"/>
      <c r="J8" s="74"/>
      <c r="K8" s="74"/>
      <c r="L8" s="74"/>
      <c r="M8" s="74"/>
      <c r="N8" s="3"/>
      <c r="P8" s="70" t="s">
        <v>124</v>
      </c>
      <c r="Q8" s="70"/>
      <c r="R8" s="70"/>
      <c r="S8" s="70"/>
      <c r="T8" s="70"/>
      <c r="U8" s="70"/>
      <c r="V8" s="70"/>
      <c r="W8" s="70"/>
    </row>
    <row r="9" spans="1:23" ht="15" customHeight="1" x14ac:dyDescent="0.25">
      <c r="A9" s="62"/>
      <c r="B9" s="63"/>
      <c r="C9" s="63"/>
      <c r="D9" s="63"/>
      <c r="E9" s="64"/>
      <c r="H9" s="74"/>
      <c r="I9" s="74"/>
      <c r="J9" s="74"/>
      <c r="K9" s="74"/>
      <c r="L9" s="74"/>
      <c r="M9" s="74"/>
      <c r="N9" s="3"/>
      <c r="P9" s="3"/>
      <c r="Q9" s="3"/>
      <c r="R9" s="3"/>
      <c r="S9" s="3"/>
    </row>
    <row r="10" spans="1:23" ht="15" customHeight="1" x14ac:dyDescent="0.25">
      <c r="A10" s="62"/>
      <c r="B10" s="63"/>
      <c r="C10" s="63"/>
      <c r="D10" s="63"/>
      <c r="E10" s="64"/>
      <c r="H10" s="74" t="s">
        <v>106</v>
      </c>
      <c r="I10" s="74"/>
      <c r="J10" s="74"/>
      <c r="K10" s="74"/>
      <c r="L10" s="74"/>
      <c r="M10" s="74"/>
      <c r="N10" s="3"/>
      <c r="O10" s="5">
        <v>1</v>
      </c>
      <c r="P10" s="71" t="s">
        <v>109</v>
      </c>
      <c r="Q10" s="71"/>
      <c r="R10" s="71"/>
      <c r="S10" s="71"/>
      <c r="T10" s="71"/>
      <c r="U10" s="71"/>
      <c r="V10" s="71"/>
      <c r="W10" s="71"/>
    </row>
    <row r="11" spans="1:23" ht="15" customHeight="1" x14ac:dyDescent="0.25">
      <c r="A11" s="95" t="s">
        <v>107</v>
      </c>
      <c r="B11" s="96"/>
      <c r="C11" s="96"/>
      <c r="D11" s="96"/>
      <c r="E11" s="37" t="str">
        <f>J11</f>
        <v>Fevereiro</v>
      </c>
      <c r="H11" s="61"/>
      <c r="I11" s="61"/>
      <c r="J11" s="121" t="s">
        <v>108</v>
      </c>
      <c r="K11" s="121"/>
      <c r="L11" s="61"/>
      <c r="M11" s="61"/>
      <c r="N11" s="3"/>
      <c r="P11" s="71"/>
      <c r="Q11" s="71"/>
      <c r="R11" s="71"/>
      <c r="S11" s="71"/>
      <c r="T11" s="71"/>
      <c r="U11" s="71"/>
      <c r="V11" s="71"/>
      <c r="W11" s="71"/>
    </row>
    <row r="12" spans="1:23" ht="15" customHeight="1" x14ac:dyDescent="0.25">
      <c r="A12" s="102" t="s">
        <v>23</v>
      </c>
      <c r="B12" s="103"/>
      <c r="C12" s="103"/>
      <c r="D12" s="105"/>
      <c r="E12" s="38">
        <v>2300</v>
      </c>
      <c r="H12" s="97" t="s">
        <v>10</v>
      </c>
      <c r="I12" s="97"/>
      <c r="J12" s="97"/>
      <c r="K12" s="97"/>
      <c r="L12" s="97"/>
      <c r="M12" s="97"/>
      <c r="N12" s="4"/>
      <c r="P12" s="71"/>
      <c r="Q12" s="71"/>
      <c r="R12" s="71"/>
      <c r="S12" s="71"/>
      <c r="T12" s="71"/>
      <c r="U12" s="71"/>
      <c r="V12" s="71"/>
      <c r="W12" s="71"/>
    </row>
    <row r="13" spans="1:23" ht="3.75" customHeight="1" x14ac:dyDescent="0.25">
      <c r="A13" s="42"/>
      <c r="E13" s="43"/>
      <c r="N13" s="1"/>
      <c r="P13" s="71"/>
      <c r="Q13" s="71"/>
      <c r="R13" s="71"/>
      <c r="S13" s="71"/>
      <c r="T13" s="71"/>
      <c r="U13" s="71"/>
      <c r="V13" s="71"/>
      <c r="W13" s="71"/>
    </row>
    <row r="14" spans="1:23" ht="15" customHeight="1" x14ac:dyDescent="0.25">
      <c r="A14" s="102" t="s">
        <v>4</v>
      </c>
      <c r="B14" s="103"/>
      <c r="C14" s="103"/>
      <c r="D14" s="103"/>
      <c r="E14" s="39">
        <f>J21</f>
        <v>65000</v>
      </c>
      <c r="F14" s="7"/>
      <c r="H14" s="114" t="s">
        <v>9</v>
      </c>
      <c r="I14" s="114"/>
      <c r="J14" s="114"/>
      <c r="K14" s="114"/>
      <c r="L14" s="114"/>
      <c r="M14" s="114"/>
      <c r="N14" s="4"/>
      <c r="P14" s="71"/>
      <c r="Q14" s="71"/>
      <c r="R14" s="71"/>
      <c r="S14" s="71"/>
      <c r="T14" s="71"/>
      <c r="U14" s="71"/>
      <c r="V14" s="71"/>
      <c r="W14" s="71"/>
    </row>
    <row r="15" spans="1:23" ht="15" customHeight="1" x14ac:dyDescent="0.25">
      <c r="A15" s="100" t="s">
        <v>3</v>
      </c>
      <c r="B15" s="101"/>
      <c r="C15" s="101"/>
      <c r="D15" s="101"/>
      <c r="E15" s="39">
        <f>J21/J16</f>
        <v>32.5</v>
      </c>
      <c r="H15" s="106" t="s">
        <v>7</v>
      </c>
      <c r="I15" s="106"/>
      <c r="J15" s="106"/>
      <c r="K15" s="106"/>
      <c r="L15" s="106"/>
      <c r="M15" s="106"/>
      <c r="N15" s="3"/>
      <c r="P15" s="71"/>
      <c r="Q15" s="71"/>
      <c r="R15" s="71"/>
      <c r="S15" s="71"/>
      <c r="T15" s="71"/>
      <c r="U15" s="71"/>
      <c r="V15" s="71"/>
      <c r="W15" s="71"/>
    </row>
    <row r="16" spans="1:23" ht="15" customHeight="1" x14ac:dyDescent="0.25">
      <c r="A16" s="102" t="s">
        <v>5</v>
      </c>
      <c r="B16" s="103"/>
      <c r="C16" s="103"/>
      <c r="D16" s="103"/>
      <c r="E16" s="39">
        <f>J25</f>
        <v>6900</v>
      </c>
      <c r="J16" s="115">
        <v>2000</v>
      </c>
      <c r="K16" s="116"/>
      <c r="N16" s="4"/>
      <c r="O16" s="5">
        <v>2</v>
      </c>
      <c r="P16" s="73" t="s">
        <v>110</v>
      </c>
      <c r="Q16" s="73"/>
      <c r="R16" s="73"/>
      <c r="S16" s="73"/>
      <c r="T16" s="73"/>
      <c r="U16" s="73"/>
      <c r="V16" s="73"/>
      <c r="W16" s="73"/>
    </row>
    <row r="17" spans="1:23" ht="15" customHeight="1" x14ac:dyDescent="0.25">
      <c r="A17" s="102" t="s">
        <v>6</v>
      </c>
      <c r="B17" s="103"/>
      <c r="C17" s="103"/>
      <c r="D17" s="105"/>
      <c r="E17" s="40">
        <f>E16/E14</f>
        <v>0.10615384615384615</v>
      </c>
      <c r="G17" s="5">
        <v>1</v>
      </c>
      <c r="H17" s="84" t="str">
        <f>IF(OR(J16="",E12=""),"",IF(AND(J16&gt;=E12*98%,J16&lt;=E12*102%),"",IF(J16&lt;E12*98%,"É bom saber que a  estrutura disponível permitiria realizar mais vendas sem aumentar os custos de funcionamento da loja.",IF(J16&gt;E12*102%,"A loja existe para vender. OK! Mas, quando a capacidade instalada é superada a qualidade do atendimento pode ficar prejudicada, a equipe estressada e a imagem da loja prejudicada. Fique atento!"))))</f>
        <v>É bom saber que a  estrutura disponível permitiria realizar mais vendas sem aumentar os custos de funcionamento da loja.</v>
      </c>
      <c r="I17" s="84"/>
      <c r="J17" s="84"/>
      <c r="K17" s="84"/>
      <c r="L17" s="84"/>
      <c r="M17" s="84"/>
      <c r="P17" s="73"/>
      <c r="Q17" s="73"/>
      <c r="R17" s="73"/>
      <c r="S17" s="73"/>
      <c r="T17" s="73"/>
      <c r="U17" s="73"/>
      <c r="V17" s="73"/>
      <c r="W17" s="73"/>
    </row>
    <row r="18" spans="1:23" ht="15" customHeight="1" x14ac:dyDescent="0.25">
      <c r="A18" s="92" t="s">
        <v>15</v>
      </c>
      <c r="B18" s="93"/>
      <c r="C18" s="93"/>
      <c r="D18" s="99"/>
      <c r="E18" s="41">
        <f>E14-E16</f>
        <v>58100</v>
      </c>
      <c r="H18" s="84"/>
      <c r="I18" s="84"/>
      <c r="J18" s="84"/>
      <c r="K18" s="84"/>
      <c r="L18" s="84"/>
      <c r="M18" s="84"/>
      <c r="N18" s="4"/>
      <c r="O18" s="5">
        <v>3</v>
      </c>
      <c r="P18" s="75" t="s">
        <v>111</v>
      </c>
      <c r="Q18" s="75"/>
      <c r="R18" s="75"/>
      <c r="S18" s="75"/>
      <c r="T18" s="75"/>
      <c r="U18" s="75"/>
      <c r="V18" s="75"/>
      <c r="W18" s="75"/>
    </row>
    <row r="19" spans="1:23" ht="3.75" customHeight="1" x14ac:dyDescent="0.25">
      <c r="A19" s="42"/>
      <c r="E19" s="43"/>
      <c r="H19" s="54"/>
      <c r="I19" s="54"/>
      <c r="J19" s="54"/>
      <c r="K19" s="54"/>
      <c r="L19" s="54"/>
      <c r="M19" s="54"/>
      <c r="N19" s="1"/>
      <c r="P19" s="75"/>
      <c r="Q19" s="75"/>
      <c r="R19" s="75"/>
      <c r="S19" s="75"/>
      <c r="T19" s="75"/>
      <c r="U19" s="75"/>
      <c r="V19" s="75"/>
      <c r="W19" s="75"/>
    </row>
    <row r="20" spans="1:23" ht="15" customHeight="1" x14ac:dyDescent="0.25">
      <c r="A20" s="85" t="s">
        <v>16</v>
      </c>
      <c r="B20" s="86"/>
      <c r="C20" s="86"/>
      <c r="D20" s="86"/>
      <c r="E20" s="39">
        <f>J30</f>
        <v>20000</v>
      </c>
      <c r="H20" s="106" t="s">
        <v>1</v>
      </c>
      <c r="I20" s="106"/>
      <c r="J20" s="106"/>
      <c r="K20" s="106"/>
      <c r="L20" s="106"/>
      <c r="M20" s="106"/>
      <c r="N20" s="4"/>
      <c r="P20" s="75"/>
      <c r="Q20" s="75"/>
      <c r="R20" s="75"/>
      <c r="S20" s="75"/>
      <c r="T20" s="75"/>
      <c r="U20" s="75"/>
      <c r="V20" s="75"/>
      <c r="W20" s="75"/>
    </row>
    <row r="21" spans="1:23" ht="15" customHeight="1" x14ac:dyDescent="0.25">
      <c r="A21" s="92" t="s">
        <v>17</v>
      </c>
      <c r="B21" s="93"/>
      <c r="C21" s="93"/>
      <c r="D21" s="93"/>
      <c r="E21" s="44">
        <f>E20/E14</f>
        <v>0.30769230769230771</v>
      </c>
      <c r="J21" s="104">
        <v>65000</v>
      </c>
      <c r="K21" s="104"/>
      <c r="N21" s="1"/>
      <c r="O21" s="5">
        <v>4</v>
      </c>
      <c r="P21" s="73" t="s">
        <v>112</v>
      </c>
      <c r="Q21" s="73"/>
      <c r="R21" s="73"/>
      <c r="S21" s="73"/>
      <c r="T21" s="73"/>
      <c r="U21" s="73"/>
      <c r="V21" s="73"/>
      <c r="W21" s="73"/>
    </row>
    <row r="22" spans="1:23" ht="15" customHeight="1" x14ac:dyDescent="0.25">
      <c r="A22" s="90" t="s">
        <v>12</v>
      </c>
      <c r="B22" s="91"/>
      <c r="C22" s="91"/>
      <c r="D22" s="91"/>
      <c r="E22" s="39">
        <f>E16+E20</f>
        <v>26900</v>
      </c>
      <c r="G22" s="5">
        <v>2</v>
      </c>
      <c r="H22" s="74" t="str">
        <f>IF(J21="","","Ou seja, cada cliente gerou em média (R$B) de faturamento.")</f>
        <v>Ou seja, cada cliente gerou em média (R$B) de faturamento.</v>
      </c>
      <c r="I22" s="74"/>
      <c r="J22" s="74"/>
      <c r="K22" s="74"/>
      <c r="L22" s="74"/>
      <c r="M22" s="74"/>
      <c r="P22" s="73"/>
      <c r="Q22" s="73"/>
      <c r="R22" s="73"/>
      <c r="S22" s="73"/>
      <c r="T22" s="73"/>
      <c r="U22" s="73"/>
      <c r="V22" s="73"/>
      <c r="W22" s="73"/>
    </row>
    <row r="23" spans="1:23" ht="3.75" customHeight="1" x14ac:dyDescent="0.25">
      <c r="A23" s="42"/>
      <c r="E23" s="45"/>
      <c r="H23" s="51"/>
      <c r="I23" s="51"/>
      <c r="J23" s="51"/>
      <c r="K23" s="51"/>
      <c r="L23" s="51"/>
      <c r="M23" s="51"/>
      <c r="N23" s="1"/>
    </row>
    <row r="24" spans="1:23" ht="15" customHeight="1" x14ac:dyDescent="0.25">
      <c r="A24" s="92" t="s">
        <v>13</v>
      </c>
      <c r="B24" s="93"/>
      <c r="C24" s="93"/>
      <c r="D24" s="93"/>
      <c r="E24" s="40">
        <f>E22/E14</f>
        <v>0.41384615384615386</v>
      </c>
      <c r="H24" s="106" t="s">
        <v>14</v>
      </c>
      <c r="I24" s="106"/>
      <c r="J24" s="106"/>
      <c r="K24" s="106"/>
      <c r="L24" s="106"/>
      <c r="M24" s="106"/>
      <c r="O24" s="5">
        <v>5</v>
      </c>
      <c r="P24" s="75" t="s">
        <v>113</v>
      </c>
      <c r="Q24" s="75"/>
      <c r="R24" s="75"/>
      <c r="S24" s="75"/>
      <c r="T24" s="75"/>
      <c r="U24" s="75"/>
      <c r="V24" s="75"/>
      <c r="W24" s="75"/>
    </row>
    <row r="25" spans="1:23" ht="15" customHeight="1" x14ac:dyDescent="0.25">
      <c r="A25" s="102" t="s">
        <v>18</v>
      </c>
      <c r="B25" s="93"/>
      <c r="C25" s="93"/>
      <c r="D25" s="99"/>
      <c r="E25" s="46">
        <f>E14-(E16+E20)</f>
        <v>38100</v>
      </c>
      <c r="J25" s="87">
        <v>6900</v>
      </c>
      <c r="K25" s="87"/>
      <c r="P25" s="75"/>
      <c r="Q25" s="75"/>
      <c r="R25" s="75"/>
      <c r="S25" s="75"/>
      <c r="T25" s="75"/>
      <c r="U25" s="75"/>
      <c r="V25" s="75"/>
      <c r="W25" s="75"/>
    </row>
    <row r="26" spans="1:23" ht="15" customHeight="1" x14ac:dyDescent="0.25">
      <c r="A26" s="118" t="s">
        <v>19</v>
      </c>
      <c r="B26" s="119"/>
      <c r="C26" s="119"/>
      <c r="D26" s="120"/>
      <c r="E26" s="39">
        <f>J35</f>
        <v>15211</v>
      </c>
      <c r="G26" s="5">
        <v>3</v>
      </c>
      <c r="H26" s="98" t="str">
        <f>IF(J25="","","Por tanto, do montante faturado (100%), sobram (R$C) para a loja.")</f>
        <v>Por tanto, do montante faturado (100%), sobram (R$C) para a loja.</v>
      </c>
      <c r="I26" s="98"/>
      <c r="J26" s="98"/>
      <c r="K26" s="98"/>
      <c r="L26" s="98"/>
      <c r="M26" s="98"/>
      <c r="P26" s="75"/>
      <c r="Q26" s="75"/>
      <c r="R26" s="75"/>
      <c r="S26" s="75"/>
      <c r="T26" s="75"/>
      <c r="U26" s="75"/>
      <c r="V26" s="75"/>
      <c r="W26" s="75"/>
    </row>
    <row r="27" spans="1:23" ht="3.75" customHeight="1" x14ac:dyDescent="0.25">
      <c r="A27" s="42"/>
      <c r="E27" s="45"/>
      <c r="H27" s="51"/>
      <c r="I27" s="51"/>
      <c r="J27" s="51"/>
      <c r="K27" s="51"/>
      <c r="L27" s="51"/>
      <c r="M27" s="51"/>
      <c r="N27" s="1"/>
      <c r="P27" s="75"/>
      <c r="Q27" s="75"/>
      <c r="R27" s="75"/>
      <c r="S27" s="75"/>
      <c r="T27" s="75"/>
      <c r="U27" s="75"/>
      <c r="V27" s="75"/>
      <c r="W27" s="75"/>
    </row>
    <row r="28" spans="1:23" ht="15" customHeight="1" x14ac:dyDescent="0.25">
      <c r="A28" s="76" t="s">
        <v>102</v>
      </c>
      <c r="B28" s="76"/>
      <c r="C28" s="76"/>
      <c r="D28" s="76"/>
      <c r="E28" s="77">
        <f>IF(E25&lt;=0,"",J35/(E25/E12))</f>
        <v>918.24934383202105</v>
      </c>
      <c r="H28" s="124" t="s">
        <v>11</v>
      </c>
      <c r="I28" s="124"/>
      <c r="J28" s="124"/>
      <c r="K28" s="124"/>
      <c r="L28" s="124"/>
      <c r="M28" s="124"/>
      <c r="P28" s="75"/>
      <c r="Q28" s="75"/>
      <c r="R28" s="75"/>
      <c r="S28" s="75"/>
      <c r="T28" s="75"/>
      <c r="U28" s="75"/>
      <c r="V28" s="75"/>
      <c r="W28" s="75"/>
    </row>
    <row r="29" spans="1:23" ht="15" customHeight="1" x14ac:dyDescent="0.25">
      <c r="A29" s="76"/>
      <c r="B29" s="76"/>
      <c r="C29" s="76"/>
      <c r="D29" s="76"/>
      <c r="E29" s="77"/>
      <c r="H29" s="124"/>
      <c r="I29" s="124"/>
      <c r="J29" s="124"/>
      <c r="K29" s="124"/>
      <c r="L29" s="124"/>
      <c r="M29" s="124"/>
      <c r="O29" s="5">
        <v>6</v>
      </c>
      <c r="P29" s="73" t="s">
        <v>114</v>
      </c>
      <c r="Q29" s="73"/>
      <c r="R29" s="73"/>
      <c r="S29" s="73"/>
      <c r="T29" s="73"/>
      <c r="U29" s="73"/>
      <c r="V29" s="73"/>
      <c r="W29" s="73"/>
    </row>
    <row r="30" spans="1:23" ht="15" customHeight="1" x14ac:dyDescent="0.25">
      <c r="A30" s="90" t="s">
        <v>103</v>
      </c>
      <c r="B30" s="91"/>
      <c r="C30" s="91"/>
      <c r="D30" s="91"/>
      <c r="E30" s="47">
        <f>IF(E28="","",E28*E15)</f>
        <v>29843.103674540685</v>
      </c>
      <c r="J30" s="123">
        <v>20000</v>
      </c>
      <c r="K30" s="123"/>
      <c r="P30" s="73"/>
      <c r="Q30" s="73"/>
      <c r="R30" s="73"/>
      <c r="S30" s="73"/>
      <c r="T30" s="73"/>
      <c r="U30" s="73"/>
      <c r="V30" s="73"/>
      <c r="W30" s="73"/>
    </row>
    <row r="31" spans="1:23" ht="21.75" customHeight="1" x14ac:dyDescent="0.25">
      <c r="A31" s="78" t="s">
        <v>116</v>
      </c>
      <c r="B31" s="78"/>
      <c r="C31" s="78"/>
      <c r="D31" s="78"/>
      <c r="E31" s="79">
        <f>(J21-E30)/J21</f>
        <v>0.54087532808398942</v>
      </c>
      <c r="G31" s="153">
        <v>4</v>
      </c>
      <c r="H31" s="74" t="str">
        <f>IF(J30&gt;0,"A soma dos gastos com vendas  com o custo das mercadorias é o que chamamos de Custos Variáveis. E, o que sobra do Faturamento é a Margem Bruta, que neste mês ficou em (R$D)","")</f>
        <v>A soma dos gastos com vendas  com o custo das mercadorias é o que chamamos de Custos Variáveis. E, o que sobra do Faturamento é a Margem Bruta, que neste mês ficou em (R$D)</v>
      </c>
      <c r="I31" s="74"/>
      <c r="J31" s="74"/>
      <c r="K31" s="74"/>
      <c r="L31" s="74"/>
      <c r="M31" s="74"/>
      <c r="O31" s="5">
        <v>7</v>
      </c>
      <c r="P31" s="75" t="s">
        <v>115</v>
      </c>
      <c r="Q31" s="75"/>
      <c r="R31" s="75"/>
      <c r="S31" s="75"/>
      <c r="T31" s="75"/>
      <c r="U31" s="75"/>
      <c r="V31" s="75"/>
      <c r="W31" s="75"/>
    </row>
    <row r="32" spans="1:23" ht="13.5" customHeight="1" x14ac:dyDescent="0.25">
      <c r="A32" s="78"/>
      <c r="B32" s="78"/>
      <c r="C32" s="78"/>
      <c r="D32" s="78"/>
      <c r="E32" s="79"/>
      <c r="H32" s="74"/>
      <c r="I32" s="74"/>
      <c r="J32" s="74"/>
      <c r="K32" s="74"/>
      <c r="L32" s="74"/>
      <c r="M32" s="74"/>
      <c r="N32" s="1"/>
      <c r="P32" s="75"/>
      <c r="Q32" s="75"/>
      <c r="R32" s="75"/>
      <c r="S32" s="75"/>
      <c r="T32" s="75"/>
      <c r="U32" s="75"/>
      <c r="V32" s="75"/>
      <c r="W32" s="75"/>
    </row>
    <row r="33" spans="1:23" ht="15" customHeight="1" x14ac:dyDescent="0.25">
      <c r="A33" s="78"/>
      <c r="B33" s="78"/>
      <c r="C33" s="78"/>
      <c r="D33" s="78"/>
      <c r="E33" s="79"/>
      <c r="H33" s="106" t="s">
        <v>8</v>
      </c>
      <c r="I33" s="106"/>
      <c r="J33" s="106"/>
      <c r="K33" s="106"/>
      <c r="L33" s="106"/>
      <c r="M33" s="106"/>
      <c r="P33" s="75"/>
      <c r="Q33" s="75"/>
      <c r="R33" s="75"/>
      <c r="S33" s="75"/>
      <c r="T33" s="75"/>
      <c r="U33" s="75"/>
      <c r="V33" s="75"/>
      <c r="W33" s="75"/>
    </row>
    <row r="34" spans="1:23" ht="3.75" customHeight="1" x14ac:dyDescent="0.25">
      <c r="H34" s="51"/>
      <c r="I34" s="51"/>
      <c r="J34" s="51"/>
      <c r="K34" s="51"/>
      <c r="L34" s="51"/>
      <c r="M34" s="51"/>
      <c r="N34" s="1"/>
      <c r="P34" s="75"/>
      <c r="Q34" s="75"/>
      <c r="R34" s="75"/>
      <c r="S34" s="75"/>
      <c r="T34" s="75"/>
      <c r="U34" s="75"/>
      <c r="V34" s="75"/>
      <c r="W34" s="75"/>
    </row>
    <row r="35" spans="1:23" ht="15" customHeight="1" x14ac:dyDescent="0.25">
      <c r="A35" s="80" t="s">
        <v>20</v>
      </c>
      <c r="B35" s="81"/>
      <c r="C35" s="81"/>
      <c r="D35" s="81"/>
      <c r="E35" s="82">
        <f>IF(AND(E16&gt;0,E20&gt;0,E26&gt;0),E16+E20+E26,"")</f>
        <v>42111</v>
      </c>
      <c r="J35" s="123">
        <v>15211</v>
      </c>
      <c r="K35" s="123"/>
      <c r="P35" s="75"/>
      <c r="Q35" s="75"/>
      <c r="R35" s="75"/>
      <c r="S35" s="75"/>
      <c r="T35" s="75"/>
      <c r="U35" s="75"/>
      <c r="V35" s="75"/>
      <c r="W35" s="75"/>
    </row>
    <row r="36" spans="1:23" ht="15" customHeight="1" x14ac:dyDescent="0.25">
      <c r="A36" s="80"/>
      <c r="B36" s="81"/>
      <c r="C36" s="81"/>
      <c r="D36" s="81"/>
      <c r="E36" s="83"/>
      <c r="G36" s="5">
        <v>5</v>
      </c>
      <c r="H36" s="74" t="str">
        <f>IF(E25&gt;E26,"Com esta informação, e, sabendo a contribuição média de cada venda, podemos dizer que a loja precisou de (E) compradores para começar a ter lucro, ou seja: faturar (R$E).",IF(OR(E25&lt;=0,E25&lt;E26),"A loja está trabalhando com preços baixos e/ou custos elevados. Precisamos melhorar este resultado!",""))</f>
        <v>Com esta informação, e, sabendo a contribuição média de cada venda, podemos dizer que a loja precisou de (E) compradores para começar a ter lucro, ou seja: faturar (R$E).</v>
      </c>
      <c r="I36" s="74"/>
      <c r="J36" s="74"/>
      <c r="K36" s="74"/>
      <c r="L36" s="74"/>
      <c r="M36" s="74"/>
      <c r="P36" s="75"/>
      <c r="Q36" s="75"/>
      <c r="R36" s="75"/>
      <c r="S36" s="75"/>
      <c r="T36" s="75"/>
      <c r="U36" s="75"/>
      <c r="V36" s="75"/>
      <c r="W36" s="75"/>
    </row>
    <row r="37" spans="1:23" ht="15" customHeight="1" x14ac:dyDescent="0.25">
      <c r="A37" s="81" t="s">
        <v>104</v>
      </c>
      <c r="B37" s="81"/>
      <c r="C37" s="81"/>
      <c r="D37" s="81"/>
      <c r="E37" s="88"/>
      <c r="H37" s="74"/>
      <c r="I37" s="74"/>
      <c r="J37" s="74"/>
      <c r="K37" s="74"/>
      <c r="L37" s="74"/>
      <c r="M37" s="74"/>
      <c r="P37" s="75"/>
      <c r="Q37" s="75"/>
      <c r="R37" s="75"/>
      <c r="S37" s="75"/>
      <c r="T37" s="75"/>
      <c r="U37" s="75"/>
      <c r="V37" s="75"/>
      <c r="W37" s="75"/>
    </row>
    <row r="38" spans="1:23" ht="15" customHeight="1" x14ac:dyDescent="0.25">
      <c r="A38" s="81"/>
      <c r="B38" s="81"/>
      <c r="C38" s="81"/>
      <c r="D38" s="81"/>
      <c r="E38" s="88"/>
      <c r="H38" s="74"/>
      <c r="I38" s="74"/>
      <c r="J38" s="74"/>
      <c r="K38" s="74"/>
      <c r="L38" s="74"/>
      <c r="M38" s="74"/>
      <c r="O38" s="66">
        <v>8</v>
      </c>
      <c r="P38" s="73" t="s">
        <v>117</v>
      </c>
      <c r="Q38" s="73"/>
      <c r="R38" s="73"/>
      <c r="S38" s="73"/>
      <c r="T38" s="73"/>
      <c r="U38" s="73"/>
      <c r="V38" s="73"/>
      <c r="W38" s="73"/>
    </row>
    <row r="39" spans="1:23" ht="3.75" customHeight="1" x14ac:dyDescent="0.25">
      <c r="A39" s="81"/>
      <c r="B39" s="81"/>
      <c r="C39" s="81"/>
      <c r="D39" s="81"/>
      <c r="E39" s="88"/>
      <c r="H39" s="51"/>
      <c r="I39" s="51"/>
      <c r="J39" s="51"/>
      <c r="K39" s="51"/>
      <c r="L39" s="51"/>
      <c r="M39" s="51"/>
      <c r="N39" s="1"/>
      <c r="P39" s="73"/>
      <c r="Q39" s="73"/>
      <c r="R39" s="73"/>
      <c r="S39" s="73"/>
      <c r="T39" s="73"/>
      <c r="U39" s="73"/>
      <c r="V39" s="73"/>
      <c r="W39" s="73"/>
    </row>
    <row r="40" spans="1:23" ht="15" customHeight="1" x14ac:dyDescent="0.25">
      <c r="A40" s="81"/>
      <c r="B40" s="81"/>
      <c r="C40" s="81"/>
      <c r="D40" s="81"/>
      <c r="E40" s="88"/>
      <c r="G40" s="5">
        <v>6</v>
      </c>
      <c r="H40" s="84" t="str">
        <f>IF(AND(J25&gt;0,J30&gt;0,J35&gt;0),"Com um custo total de (R$G), resultado do mês: (H) (%H) o que corresponde a (R$H).","")</f>
        <v>Com um custo total de (R$G), resultado do mês: (H) (%H) o que corresponde a (R$H).</v>
      </c>
      <c r="I40" s="84"/>
      <c r="J40" s="84"/>
      <c r="K40" s="84"/>
      <c r="L40" s="84"/>
      <c r="M40" s="84"/>
      <c r="P40" s="73"/>
      <c r="Q40" s="73"/>
      <c r="R40" s="73"/>
      <c r="S40" s="73"/>
      <c r="T40" s="73"/>
      <c r="U40" s="73"/>
      <c r="V40" s="73"/>
      <c r="W40" s="73"/>
    </row>
    <row r="41" spans="1:23" ht="15" customHeight="1" x14ac:dyDescent="0.25">
      <c r="A41" s="90" t="s">
        <v>21</v>
      </c>
      <c r="B41" s="91"/>
      <c r="C41" s="91"/>
      <c r="D41" s="91"/>
      <c r="E41" s="48">
        <f>E14-E35</f>
        <v>22889</v>
      </c>
      <c r="H41" s="84"/>
      <c r="I41" s="84"/>
      <c r="J41" s="84"/>
      <c r="K41" s="84"/>
      <c r="L41" s="84"/>
      <c r="M41" s="84"/>
      <c r="P41" s="89"/>
      <c r="Q41" s="89"/>
      <c r="R41" s="89"/>
      <c r="S41" s="89"/>
      <c r="T41" s="89"/>
      <c r="U41" s="89"/>
      <c r="V41" s="89"/>
      <c r="W41" s="89"/>
    </row>
    <row r="42" spans="1:23" ht="15" customHeight="1" x14ac:dyDescent="0.25">
      <c r="A42" s="90" t="s">
        <v>22</v>
      </c>
      <c r="B42" s="91"/>
      <c r="C42" s="91"/>
      <c r="D42" s="91"/>
      <c r="E42" s="40">
        <f>E41/E14</f>
        <v>0.35213846153846151</v>
      </c>
      <c r="G42" s="5">
        <v>7</v>
      </c>
      <c r="H42" s="74" t="str">
        <f>IF(OR(E25&lt;=0,E25&lt;E26),"","O faturamento da loja poderia cair (F%) antes de começar a registrar prejuízo.")</f>
        <v>O faturamento da loja poderia cair (F%) antes de começar a registrar prejuízo.</v>
      </c>
      <c r="I42" s="74"/>
      <c r="J42" s="74"/>
      <c r="K42" s="74"/>
      <c r="L42" s="74"/>
      <c r="M42" s="74"/>
      <c r="O42" s="5">
        <v>9</v>
      </c>
      <c r="P42" s="65" t="s">
        <v>118</v>
      </c>
      <c r="Q42" s="65"/>
      <c r="R42" s="65"/>
      <c r="S42" s="65"/>
      <c r="T42" s="65"/>
      <c r="U42" s="65"/>
      <c r="V42" s="65"/>
      <c r="W42" s="65"/>
    </row>
    <row r="43" spans="1:23" ht="15" customHeight="1" thickBot="1" x14ac:dyDescent="0.3">
      <c r="A43" s="107" t="s">
        <v>24</v>
      </c>
      <c r="B43" s="108"/>
      <c r="C43" s="108"/>
      <c r="D43" s="108"/>
      <c r="E43" s="49">
        <v>0.2</v>
      </c>
      <c r="H43" s="74"/>
      <c r="I43" s="74"/>
      <c r="J43" s="74"/>
      <c r="K43" s="74"/>
      <c r="L43" s="74"/>
      <c r="M43" s="74"/>
      <c r="P43" s="65"/>
      <c r="Q43" s="65"/>
      <c r="R43" s="65"/>
      <c r="S43" s="65"/>
      <c r="T43" s="65"/>
      <c r="U43" s="65"/>
      <c r="V43" s="65"/>
      <c r="W43" s="65"/>
    </row>
    <row r="44" spans="1:23" ht="15" customHeight="1" x14ac:dyDescent="0.25">
      <c r="G44" s="5">
        <v>8</v>
      </c>
      <c r="H44" s="74" t="str">
        <f>IF(H42="","",IF(AND(E31&gt;0,E31&lt;10%),"Esse indicador mostra que o seu negócio poderá registrar prejuízo com pequena queda nas vendas.",IF(AND(E31&gt;=10%,E31&lt;25%),"Esse indicador mostra que o seu negócio conta com pouca margem para enfrentar quedas nas vendas.",IF(AND(E31&gt;=25%,E31&lt;40%),"Esse indicador mostra que o seu negócio conta com boa margem para enfrentar quedas nas vendas.",IF(E31&gt;=40%,"Esse indicador mostra que o seu negócio está bem preparado para enfrentar quedas nas vendas.")))))</f>
        <v>Esse indicador mostra que o seu negócio está bem preparado para enfrentar quedas nas vendas.</v>
      </c>
      <c r="I44" s="74"/>
      <c r="J44" s="74"/>
      <c r="K44" s="74"/>
      <c r="L44" s="74"/>
      <c r="M44" s="74"/>
      <c r="T44" s="65"/>
      <c r="U44" s="65"/>
      <c r="V44" s="65"/>
      <c r="W44" s="65"/>
    </row>
    <row r="45" spans="1:23" ht="15" customHeight="1" x14ac:dyDescent="0.25">
      <c r="H45" s="74"/>
      <c r="I45" s="74"/>
      <c r="J45" s="74"/>
      <c r="K45" s="74"/>
      <c r="L45" s="74"/>
      <c r="M45" s="74"/>
      <c r="T45" s="65"/>
      <c r="U45" s="65"/>
      <c r="V45" s="65"/>
      <c r="W45" s="65"/>
    </row>
    <row r="46" spans="1:23" ht="15" customHeight="1" x14ac:dyDescent="0.25">
      <c r="E46" s="67"/>
      <c r="H46" s="53"/>
      <c r="I46" s="53"/>
      <c r="J46" s="53"/>
      <c r="K46" s="53"/>
      <c r="L46" s="53"/>
      <c r="M46" s="53"/>
      <c r="P46" s="65"/>
      <c r="Q46" s="65"/>
      <c r="R46" s="65"/>
      <c r="S46" s="65"/>
      <c r="T46" s="65"/>
      <c r="U46" s="65"/>
      <c r="V46" s="65"/>
      <c r="W46" s="65"/>
    </row>
    <row r="47" spans="1:23" ht="15" customHeight="1" x14ac:dyDescent="0.25">
      <c r="E47" s="67"/>
      <c r="G47" s="5">
        <v>9</v>
      </c>
      <c r="H47" s="74" t="str">
        <f>IF(OR(J21="",J25="",J30="",J35=""),"",IF(E42&gt;=E43*105%,"Você tem motivo para comemorar. Os números mostram que sua loja está no caminho certo!",IF(AND(E42&gt;=E43*95%,E42&lt;E43*105%),"Você deve estar satisfeito com o resultado alcançado. Com alguns ajustes será possível conseguir mais!",IF(AND(E42&gt;0,E42&lt;E43*95%),"O resultado ficou abaixo do que você gostaria. Vamos ajustar isso juntos!",IF(E42&lt;=0,"É natural que esteja preocupado! A boa notícia é que esse resultado pode ser ajustado, e vamos trabalhar juntos para melhorar isso!")))))</f>
        <v>Você tem motivo para comemorar. Os números mostram que sua loja está no caminho certo!</v>
      </c>
      <c r="I47" s="74"/>
      <c r="J47" s="74"/>
      <c r="K47" s="74"/>
      <c r="L47" s="74"/>
      <c r="M47" s="74"/>
      <c r="P47" s="65"/>
      <c r="Q47" s="65"/>
      <c r="R47" s="65"/>
      <c r="S47" s="65"/>
      <c r="T47" s="65"/>
      <c r="U47" s="65"/>
      <c r="V47" s="65"/>
      <c r="W47" s="65"/>
    </row>
    <row r="48" spans="1:23" ht="15" customHeight="1" x14ac:dyDescent="0.25">
      <c r="E48" s="109"/>
      <c r="H48" s="74"/>
      <c r="I48" s="74"/>
      <c r="J48" s="74"/>
      <c r="K48" s="74"/>
      <c r="L48" s="74"/>
      <c r="M48" s="74"/>
      <c r="O48" s="5">
        <v>10</v>
      </c>
      <c r="P48" s="73" t="s">
        <v>119</v>
      </c>
      <c r="Q48" s="73"/>
      <c r="R48" s="73"/>
      <c r="S48" s="73"/>
      <c r="T48" s="73"/>
      <c r="U48" s="73"/>
      <c r="V48" s="73"/>
      <c r="W48" s="73"/>
    </row>
    <row r="49" spans="1:23" ht="3.75" customHeight="1" x14ac:dyDescent="0.25">
      <c r="E49" s="109"/>
      <c r="H49" s="51"/>
      <c r="I49" s="51"/>
      <c r="J49" s="51"/>
      <c r="K49" s="51"/>
      <c r="L49" s="51"/>
      <c r="M49" s="51"/>
      <c r="N49" s="1"/>
      <c r="P49" s="73"/>
      <c r="Q49" s="73"/>
      <c r="R49" s="73"/>
      <c r="S49" s="73"/>
      <c r="T49" s="73"/>
      <c r="U49" s="73"/>
      <c r="V49" s="73"/>
      <c r="W49" s="73"/>
    </row>
    <row r="50" spans="1:23" ht="15" customHeight="1" x14ac:dyDescent="0.25">
      <c r="E50" s="109"/>
      <c r="G50" s="5">
        <v>10</v>
      </c>
      <c r="H50" s="84" t="str">
        <f>IF(H40="","","Me esclareça uma dúvida: este valor corresponde ao que apurou no caixa da loja no fechamento do mês?")</f>
        <v>Me esclareça uma dúvida: este valor corresponde ao que apurou no caixa da loja no fechamento do mês?</v>
      </c>
      <c r="I50" s="84"/>
      <c r="J50" s="84"/>
      <c r="K50" s="84"/>
      <c r="L50" s="84"/>
      <c r="M50" s="84"/>
      <c r="P50" s="73"/>
      <c r="Q50" s="73"/>
      <c r="R50" s="73"/>
      <c r="S50" s="73"/>
      <c r="T50" s="73"/>
      <c r="U50" s="73"/>
      <c r="V50" s="73"/>
      <c r="W50" s="73"/>
    </row>
    <row r="51" spans="1:23" ht="15" customHeight="1" x14ac:dyDescent="0.25">
      <c r="H51" s="84"/>
      <c r="I51" s="84"/>
      <c r="J51" s="84"/>
      <c r="K51" s="84"/>
      <c r="L51" s="84"/>
      <c r="M51" s="84"/>
      <c r="O51" s="5">
        <v>11</v>
      </c>
      <c r="P51" s="71" t="s">
        <v>120</v>
      </c>
      <c r="Q51" s="71"/>
      <c r="R51" s="71"/>
      <c r="S51" s="71"/>
      <c r="T51" s="71"/>
      <c r="U51" s="71"/>
      <c r="V51" s="71"/>
      <c r="W51" s="71"/>
    </row>
    <row r="52" spans="1:23" ht="15" customHeight="1" x14ac:dyDescent="0.25">
      <c r="H52" s="54" t="s">
        <v>73</v>
      </c>
      <c r="I52" s="68"/>
      <c r="J52" s="54"/>
      <c r="K52" s="125" t="s">
        <v>74</v>
      </c>
      <c r="L52" s="125"/>
      <c r="M52" s="69" t="s">
        <v>75</v>
      </c>
      <c r="P52" s="71"/>
      <c r="Q52" s="71"/>
      <c r="R52" s="71"/>
      <c r="S52" s="71"/>
      <c r="T52" s="71"/>
      <c r="U52" s="71"/>
      <c r="V52" s="71"/>
      <c r="W52" s="71"/>
    </row>
    <row r="53" spans="1:23" ht="15" customHeight="1" x14ac:dyDescent="0.25">
      <c r="G53" s="5">
        <v>11</v>
      </c>
      <c r="H53" s="84" t="str">
        <f>IF(AND(I52="",M52=""),"",IF(AND(I52&gt;"",M52=""),"Ótimo! É sinal de que as finanças estão bem acompanhadas.",IF(AND(I52="",M52&gt;""),"Recomendo que você veja o que a Ana tem a dizer.",IF(AND(I52&gt;"",M52&gt;""),"Escolha apenas uma alternativa de resposta."))))</f>
        <v>Recomendo que você veja o que a Ana tem a dizer.</v>
      </c>
      <c r="I53" s="84"/>
      <c r="J53" s="84"/>
      <c r="K53" s="84"/>
      <c r="L53" s="84"/>
      <c r="M53" s="84"/>
      <c r="P53" s="71"/>
      <c r="Q53" s="71"/>
      <c r="R53" s="71"/>
      <c r="S53" s="71"/>
      <c r="T53" s="71"/>
      <c r="U53" s="71"/>
      <c r="V53" s="71"/>
      <c r="W53" s="71"/>
    </row>
    <row r="54" spans="1:23" ht="3.75" customHeight="1" x14ac:dyDescent="0.25">
      <c r="H54" s="51"/>
      <c r="I54" s="51"/>
      <c r="J54" s="51"/>
      <c r="K54" s="51"/>
      <c r="L54" s="51"/>
      <c r="M54" s="51"/>
      <c r="N54" s="1"/>
      <c r="P54" s="71"/>
      <c r="Q54" s="71"/>
      <c r="R54" s="71"/>
      <c r="S54" s="71"/>
      <c r="T54" s="71"/>
      <c r="U54" s="71"/>
      <c r="V54" s="71"/>
      <c r="W54" s="71"/>
    </row>
    <row r="55" spans="1:23" ht="15" customHeight="1" x14ac:dyDescent="0.25">
      <c r="N55" s="1"/>
    </row>
    <row r="56" spans="1:23" ht="15" customHeight="1" x14ac:dyDescent="0.25">
      <c r="N56" s="1"/>
    </row>
    <row r="57" spans="1:23" ht="3.75" customHeight="1" x14ac:dyDescent="0.25">
      <c r="H57" s="51"/>
      <c r="I57" s="51"/>
      <c r="J57" s="51"/>
      <c r="K57" s="51"/>
      <c r="L57" s="51"/>
      <c r="M57" s="51"/>
      <c r="N57" s="1"/>
    </row>
    <row r="58" spans="1:23" ht="15" customHeight="1" x14ac:dyDescent="0.25">
      <c r="A58" s="13"/>
      <c r="B58" s="13"/>
      <c r="C58" s="13"/>
      <c r="D58" s="13"/>
      <c r="F58" s="55"/>
      <c r="H58" s="5"/>
      <c r="I58" s="72" t="s">
        <v>134</v>
      </c>
      <c r="J58" s="72"/>
      <c r="K58" s="72"/>
      <c r="L58" s="72"/>
      <c r="M58" s="72"/>
    </row>
    <row r="59" spans="1:23" ht="15" customHeight="1" x14ac:dyDescent="0.25">
      <c r="A59" s="13"/>
      <c r="B59" s="13"/>
      <c r="C59" s="13"/>
      <c r="D59" s="13"/>
      <c r="I59" s="72" t="s">
        <v>121</v>
      </c>
      <c r="J59" s="72"/>
      <c r="K59" s="72"/>
      <c r="L59" s="72"/>
      <c r="M59" s="72"/>
    </row>
    <row r="60" spans="1:23" ht="15" customHeight="1" x14ac:dyDescent="0.25">
      <c r="A60" s="13"/>
      <c r="B60" s="13"/>
      <c r="C60" s="13"/>
      <c r="D60" s="13"/>
      <c r="I60" s="72"/>
      <c r="J60" s="72"/>
      <c r="K60" s="72"/>
      <c r="L60" s="72"/>
      <c r="M60" s="72"/>
    </row>
    <row r="61" spans="1:23" ht="15" customHeight="1" x14ac:dyDescent="0.25">
      <c r="A61" s="13"/>
      <c r="B61" s="13"/>
      <c r="C61" s="13"/>
      <c r="D61" s="13"/>
      <c r="H61" s="56"/>
      <c r="I61" s="122" t="s">
        <v>122</v>
      </c>
      <c r="J61" s="122"/>
      <c r="K61" s="122"/>
      <c r="L61" s="122"/>
      <c r="M61" s="122"/>
    </row>
    <row r="62" spans="1:23" ht="15" customHeight="1" x14ac:dyDescent="0.25">
      <c r="A62" s="13"/>
      <c r="B62" s="13"/>
      <c r="C62" s="13"/>
      <c r="D62" s="13"/>
      <c r="I62" s="14"/>
      <c r="J62" s="14"/>
      <c r="K62" s="14"/>
      <c r="L62" s="14"/>
      <c r="M62" s="14"/>
      <c r="N62" s="3"/>
    </row>
    <row r="63" spans="1:23" ht="15" customHeight="1" x14ac:dyDescent="0.25">
      <c r="H63" s="52"/>
      <c r="I63" s="52"/>
      <c r="J63" s="52"/>
      <c r="K63" s="52"/>
      <c r="L63" s="52"/>
      <c r="M63" s="52"/>
    </row>
    <row r="64" spans="1:23" ht="15" customHeight="1" x14ac:dyDescent="0.25">
      <c r="H64" s="52"/>
      <c r="S64" s="14"/>
      <c r="T64" s="14"/>
    </row>
    <row r="65" spans="8:20" ht="15" customHeight="1" x14ac:dyDescent="0.25">
      <c r="I65" s="57"/>
      <c r="J65" s="57"/>
      <c r="K65" s="57"/>
      <c r="L65" s="57"/>
      <c r="M65" s="57"/>
      <c r="S65" s="14"/>
      <c r="T65" s="14"/>
    </row>
    <row r="66" spans="8:20" ht="15" customHeight="1" x14ac:dyDescent="0.25">
      <c r="H66" s="57"/>
      <c r="I66" s="57"/>
      <c r="J66" s="57"/>
      <c r="K66" s="57"/>
      <c r="L66" s="57"/>
      <c r="M66" s="57"/>
    </row>
    <row r="67" spans="8:20" ht="15" customHeight="1" x14ac:dyDescent="0.25"/>
    <row r="68" spans="8:20" ht="15" customHeight="1" x14ac:dyDescent="0.25"/>
    <row r="69" spans="8:20" ht="15" customHeight="1" x14ac:dyDescent="0.25"/>
    <row r="70" spans="8:20" ht="15" customHeight="1" x14ac:dyDescent="0.25"/>
    <row r="71" spans="8:20" ht="15" customHeight="1" x14ac:dyDescent="0.25"/>
    <row r="72" spans="8:20" ht="15" customHeight="1" x14ac:dyDescent="0.25"/>
    <row r="73" spans="8:20" ht="15" customHeight="1" x14ac:dyDescent="0.25"/>
    <row r="74" spans="8:20" ht="15" customHeight="1" x14ac:dyDescent="0.25"/>
    <row r="75" spans="8:20" ht="15" customHeight="1" x14ac:dyDescent="0.25"/>
    <row r="76" spans="8:20" ht="15" customHeight="1" x14ac:dyDescent="0.25"/>
    <row r="77" spans="8:20" ht="15" customHeight="1" x14ac:dyDescent="0.25"/>
    <row r="78" spans="8:20" ht="15" customHeight="1" x14ac:dyDescent="0.25"/>
    <row r="79" spans="8:20" ht="15" customHeight="1" x14ac:dyDescent="0.25"/>
    <row r="80" spans="8:2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</sheetData>
  <mergeCells count="73">
    <mergeCell ref="I61:M61"/>
    <mergeCell ref="J30:K30"/>
    <mergeCell ref="H28:M29"/>
    <mergeCell ref="H33:M33"/>
    <mergeCell ref="J35:K35"/>
    <mergeCell ref="H50:M51"/>
    <mergeCell ref="K52:L52"/>
    <mergeCell ref="H53:M53"/>
    <mergeCell ref="H31:M32"/>
    <mergeCell ref="A1:M2"/>
    <mergeCell ref="A8:E8"/>
    <mergeCell ref="H14:M14"/>
    <mergeCell ref="J16:K16"/>
    <mergeCell ref="A3:E5"/>
    <mergeCell ref="A12:D12"/>
    <mergeCell ref="H15:M15"/>
    <mergeCell ref="H6:M9"/>
    <mergeCell ref="H10:M10"/>
    <mergeCell ref="J11:K11"/>
    <mergeCell ref="H3:M3"/>
    <mergeCell ref="A11:D11"/>
    <mergeCell ref="H4:M5"/>
    <mergeCell ref="H12:M12"/>
    <mergeCell ref="H26:M26"/>
    <mergeCell ref="A18:D18"/>
    <mergeCell ref="A15:D15"/>
    <mergeCell ref="A16:D16"/>
    <mergeCell ref="J21:K21"/>
    <mergeCell ref="A14:D14"/>
    <mergeCell ref="A25:D25"/>
    <mergeCell ref="A17:D17"/>
    <mergeCell ref="H24:M24"/>
    <mergeCell ref="H20:M20"/>
    <mergeCell ref="A24:D24"/>
    <mergeCell ref="A26:D26"/>
    <mergeCell ref="A20:D20"/>
    <mergeCell ref="J25:K25"/>
    <mergeCell ref="H47:M48"/>
    <mergeCell ref="H44:M45"/>
    <mergeCell ref="E37:E40"/>
    <mergeCell ref="A22:D22"/>
    <mergeCell ref="A21:D21"/>
    <mergeCell ref="A41:D41"/>
    <mergeCell ref="A42:D42"/>
    <mergeCell ref="H40:M41"/>
    <mergeCell ref="H42:M43"/>
    <mergeCell ref="A43:D43"/>
    <mergeCell ref="E48:E50"/>
    <mergeCell ref="A30:D30"/>
    <mergeCell ref="H22:M22"/>
    <mergeCell ref="A28:D29"/>
    <mergeCell ref="E28:E29"/>
    <mergeCell ref="P29:W30"/>
    <mergeCell ref="P31:W37"/>
    <mergeCell ref="A31:D33"/>
    <mergeCell ref="E31:E33"/>
    <mergeCell ref="A35:D36"/>
    <mergeCell ref="E35:E36"/>
    <mergeCell ref="A37:D40"/>
    <mergeCell ref="P8:W8"/>
    <mergeCell ref="P51:W54"/>
    <mergeCell ref="I58:M58"/>
    <mergeCell ref="I59:M60"/>
    <mergeCell ref="P21:W22"/>
    <mergeCell ref="H36:M38"/>
    <mergeCell ref="P24:W28"/>
    <mergeCell ref="P38:W40"/>
    <mergeCell ref="P10:W15"/>
    <mergeCell ref="H17:M18"/>
    <mergeCell ref="P16:W17"/>
    <mergeCell ref="P18:W20"/>
    <mergeCell ref="P41:W41"/>
    <mergeCell ref="P48:W5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C458-B217-4017-9F23-F693B7FB840A}">
  <dimension ref="E2:U56"/>
  <sheetViews>
    <sheetView showGridLines="0" showRowColHeaders="0" workbookViewId="0">
      <selection activeCell="F55" sqref="F55"/>
    </sheetView>
  </sheetViews>
  <sheetFormatPr defaultRowHeight="15" x14ac:dyDescent="0.25"/>
  <cols>
    <col min="12" max="12" width="1.140625" customWidth="1"/>
    <col min="13" max="13" width="16.28515625" style="2" customWidth="1"/>
  </cols>
  <sheetData>
    <row r="2" spans="5:16" ht="15.75" x14ac:dyDescent="0.25">
      <c r="H2" s="145" t="s">
        <v>36</v>
      </c>
      <c r="I2" s="145"/>
      <c r="J2" s="145"/>
      <c r="K2" s="145"/>
      <c r="L2" s="145"/>
      <c r="M2" s="145"/>
    </row>
    <row r="3" spans="5:16" ht="15" customHeight="1" x14ac:dyDescent="0.25">
      <c r="E3" s="16"/>
      <c r="H3" s="144" t="s">
        <v>132</v>
      </c>
      <c r="I3" s="144"/>
      <c r="J3" s="144"/>
      <c r="K3" s="144"/>
      <c r="L3" s="144"/>
      <c r="M3" s="144"/>
    </row>
    <row r="4" spans="5:16" x14ac:dyDescent="0.25">
      <c r="H4" s="144"/>
      <c r="I4" s="144"/>
      <c r="J4" s="144"/>
      <c r="K4" s="144"/>
      <c r="L4" s="144"/>
      <c r="M4" s="144"/>
    </row>
    <row r="5" spans="5:16" x14ac:dyDescent="0.25">
      <c r="H5" s="144"/>
      <c r="I5" s="144"/>
      <c r="J5" s="144"/>
      <c r="K5" s="144"/>
      <c r="L5" s="144"/>
      <c r="M5" s="144"/>
    </row>
    <row r="6" spans="5:16" x14ac:dyDescent="0.25">
      <c r="H6" s="144" t="s">
        <v>131</v>
      </c>
      <c r="I6" s="144"/>
      <c r="J6" s="144"/>
      <c r="K6" s="144"/>
      <c r="L6" s="144"/>
      <c r="M6" s="144"/>
      <c r="O6" s="144"/>
      <c r="P6" s="144"/>
    </row>
    <row r="7" spans="5:16" x14ac:dyDescent="0.25">
      <c r="H7" s="144"/>
      <c r="I7" s="144"/>
      <c r="J7" s="144"/>
      <c r="K7" s="144"/>
      <c r="L7" s="144"/>
      <c r="M7" s="144"/>
      <c r="O7" s="144"/>
      <c r="P7" s="144"/>
    </row>
    <row r="8" spans="5:16" x14ac:dyDescent="0.25">
      <c r="M8" s="135" t="s">
        <v>126</v>
      </c>
      <c r="N8" s="135" t="s">
        <v>126</v>
      </c>
    </row>
    <row r="9" spans="5:16" x14ac:dyDescent="0.25">
      <c r="M9" s="136"/>
      <c r="N9" s="136"/>
    </row>
    <row r="10" spans="5:16" x14ac:dyDescent="0.25">
      <c r="G10" s="132" t="s">
        <v>37</v>
      </c>
      <c r="H10" s="133"/>
      <c r="I10" s="133"/>
      <c r="J10" s="133"/>
      <c r="K10" s="134"/>
      <c r="M10" s="32"/>
      <c r="N10" s="32"/>
    </row>
    <row r="11" spans="5:16" ht="5.25" customHeight="1" x14ac:dyDescent="0.25">
      <c r="N11" s="2"/>
    </row>
    <row r="12" spans="5:16" x14ac:dyDescent="0.25">
      <c r="G12" s="139" t="s">
        <v>33</v>
      </c>
      <c r="H12" s="139"/>
      <c r="I12" s="139"/>
      <c r="J12" s="139"/>
      <c r="K12" s="139"/>
      <c r="L12" s="9"/>
      <c r="M12" s="19"/>
      <c r="N12" s="19"/>
    </row>
    <row r="13" spans="5:16" ht="5.25" customHeight="1" x14ac:dyDescent="0.25">
      <c r="M13" s="20"/>
      <c r="N13" s="20"/>
    </row>
    <row r="14" spans="5:16" x14ac:dyDescent="0.25">
      <c r="G14" s="140" t="s">
        <v>25</v>
      </c>
      <c r="H14" s="140"/>
      <c r="I14" s="140"/>
      <c r="J14" s="140"/>
      <c r="K14" s="140"/>
      <c r="L14" s="10"/>
      <c r="M14" s="146"/>
      <c r="N14" s="146"/>
    </row>
    <row r="15" spans="5:16" x14ac:dyDescent="0.25">
      <c r="G15" s="140"/>
      <c r="H15" s="140"/>
      <c r="I15" s="140"/>
      <c r="J15" s="140"/>
      <c r="K15" s="140"/>
      <c r="L15" s="10"/>
      <c r="M15" s="146"/>
      <c r="N15" s="146"/>
    </row>
    <row r="16" spans="5:16" ht="5.25" customHeight="1" x14ac:dyDescent="0.25">
      <c r="M16" s="20"/>
      <c r="N16" s="20"/>
    </row>
    <row r="17" spans="7:18" x14ac:dyDescent="0.25">
      <c r="G17" s="140" t="s">
        <v>26</v>
      </c>
      <c r="H17" s="140"/>
      <c r="I17" s="140"/>
      <c r="J17" s="140"/>
      <c r="K17" s="140"/>
      <c r="L17" s="10"/>
      <c r="M17" s="146"/>
      <c r="N17" s="146"/>
    </row>
    <row r="18" spans="7:18" x14ac:dyDescent="0.25">
      <c r="G18" s="140"/>
      <c r="H18" s="140"/>
      <c r="I18" s="140"/>
      <c r="J18" s="140"/>
      <c r="K18" s="140"/>
      <c r="L18" s="10"/>
      <c r="M18" s="146"/>
      <c r="N18" s="146"/>
    </row>
    <row r="19" spans="7:18" ht="5.25" customHeight="1" x14ac:dyDescent="0.25">
      <c r="M19" s="20"/>
      <c r="N19" s="20"/>
    </row>
    <row r="20" spans="7:18" x14ac:dyDescent="0.25">
      <c r="G20" s="139" t="s">
        <v>35</v>
      </c>
      <c r="H20" s="139"/>
      <c r="I20" s="139"/>
      <c r="J20" s="139"/>
      <c r="K20" s="139"/>
      <c r="L20" s="11"/>
      <c r="M20" s="19"/>
      <c r="N20" s="19"/>
      <c r="P20" s="150" t="s">
        <v>130</v>
      </c>
      <c r="Q20" s="150"/>
      <c r="R20" s="150"/>
    </row>
    <row r="21" spans="7:18" ht="5.25" customHeight="1" x14ac:dyDescent="0.25">
      <c r="M21" s="20"/>
      <c r="N21" s="20"/>
      <c r="P21" s="150"/>
      <c r="Q21" s="150"/>
      <c r="R21" s="150"/>
    </row>
    <row r="22" spans="7:18" x14ac:dyDescent="0.25">
      <c r="G22" s="139" t="s">
        <v>32</v>
      </c>
      <c r="H22" s="139"/>
      <c r="I22" s="139"/>
      <c r="J22" s="139"/>
      <c r="K22" s="139"/>
      <c r="L22" s="9"/>
      <c r="M22" s="19"/>
      <c r="N22" s="19"/>
      <c r="P22" s="150"/>
      <c r="Q22" s="150"/>
      <c r="R22" s="150"/>
    </row>
    <row r="23" spans="7:18" ht="5.25" customHeight="1" x14ac:dyDescent="0.25">
      <c r="M23" s="20"/>
      <c r="N23" s="20"/>
      <c r="P23" s="150"/>
      <c r="Q23" s="150"/>
      <c r="R23" s="150"/>
    </row>
    <row r="24" spans="7:18" x14ac:dyDescent="0.25">
      <c r="G24" s="129" t="s">
        <v>42</v>
      </c>
      <c r="H24" s="130"/>
      <c r="I24" s="130"/>
      <c r="J24" s="130"/>
      <c r="K24" s="131"/>
      <c r="L24" s="9"/>
      <c r="M24" s="19"/>
      <c r="N24" s="19"/>
    </row>
    <row r="25" spans="7:18" ht="5.25" customHeight="1" x14ac:dyDescent="0.25">
      <c r="M25" s="20"/>
      <c r="N25" s="20"/>
    </row>
    <row r="26" spans="7:18" x14ac:dyDescent="0.25">
      <c r="G26" s="129" t="s">
        <v>46</v>
      </c>
      <c r="H26" s="130"/>
      <c r="I26" s="130"/>
      <c r="J26" s="130"/>
      <c r="K26" s="131"/>
      <c r="L26" s="9"/>
      <c r="M26" s="19"/>
      <c r="N26" s="19"/>
    </row>
    <row r="27" spans="7:18" ht="5.25" customHeight="1" x14ac:dyDescent="0.25">
      <c r="M27" s="20"/>
      <c r="N27" s="20"/>
    </row>
    <row r="28" spans="7:18" ht="15" customHeight="1" x14ac:dyDescent="0.25">
      <c r="G28" s="129" t="s">
        <v>43</v>
      </c>
      <c r="H28" s="130"/>
      <c r="I28" s="130"/>
      <c r="J28" s="130"/>
      <c r="K28" s="131"/>
      <c r="M28" s="19"/>
      <c r="N28" s="19"/>
    </row>
    <row r="29" spans="7:18" ht="5.25" customHeight="1" x14ac:dyDescent="0.25">
      <c r="M29" s="20"/>
      <c r="N29" s="20"/>
    </row>
    <row r="30" spans="7:18" ht="15" customHeight="1" x14ac:dyDescent="0.25">
      <c r="G30" s="129" t="s">
        <v>44</v>
      </c>
      <c r="H30" s="130"/>
      <c r="I30" s="130"/>
      <c r="J30" s="130"/>
      <c r="K30" s="131"/>
      <c r="M30" s="19"/>
      <c r="N30" s="19"/>
    </row>
    <row r="31" spans="7:18" ht="5.25" customHeight="1" x14ac:dyDescent="0.25">
      <c r="M31" s="20"/>
      <c r="N31" s="20"/>
    </row>
    <row r="32" spans="7:18" x14ac:dyDescent="0.25">
      <c r="G32" s="139" t="s">
        <v>27</v>
      </c>
      <c r="H32" s="139"/>
      <c r="I32" s="139"/>
      <c r="J32" s="139"/>
      <c r="K32" s="139"/>
      <c r="L32" s="9"/>
      <c r="M32" s="19"/>
      <c r="N32" s="19"/>
    </row>
    <row r="33" spans="7:21" ht="5.25" customHeight="1" x14ac:dyDescent="0.25">
      <c r="M33" s="20"/>
      <c r="N33" s="20"/>
    </row>
    <row r="34" spans="7:21" x14ac:dyDescent="0.25">
      <c r="G34" s="139" t="s">
        <v>28</v>
      </c>
      <c r="H34" s="139"/>
      <c r="I34" s="139"/>
      <c r="J34" s="139"/>
      <c r="K34" s="139"/>
      <c r="L34" s="9"/>
      <c r="M34" s="19"/>
      <c r="N34" s="19"/>
    </row>
    <row r="35" spans="7:21" ht="5.25" customHeight="1" x14ac:dyDescent="0.25">
      <c r="M35" s="20"/>
      <c r="N35" s="20"/>
    </row>
    <row r="36" spans="7:21" x14ac:dyDescent="0.25">
      <c r="G36" s="139" t="s">
        <v>29</v>
      </c>
      <c r="H36" s="139"/>
      <c r="I36" s="139"/>
      <c r="J36" s="139"/>
      <c r="K36" s="139"/>
      <c r="L36" s="9"/>
      <c r="M36" s="19"/>
      <c r="N36" s="19"/>
    </row>
    <row r="37" spans="7:21" ht="5.25" customHeight="1" x14ac:dyDescent="0.25">
      <c r="M37" s="20"/>
      <c r="N37" s="20"/>
    </row>
    <row r="38" spans="7:21" x14ac:dyDescent="0.25">
      <c r="G38" s="139" t="s">
        <v>30</v>
      </c>
      <c r="H38" s="139"/>
      <c r="I38" s="139"/>
      <c r="J38" s="139"/>
      <c r="K38" s="139"/>
      <c r="L38" s="9"/>
      <c r="M38" s="19"/>
      <c r="N38" s="19"/>
    </row>
    <row r="39" spans="7:21" ht="5.25" customHeight="1" x14ac:dyDescent="0.25">
      <c r="M39" s="20"/>
      <c r="N39" s="20"/>
    </row>
    <row r="40" spans="7:21" x14ac:dyDescent="0.25">
      <c r="G40" s="140" t="s">
        <v>34</v>
      </c>
      <c r="H40" s="140"/>
      <c r="I40" s="140"/>
      <c r="J40" s="140"/>
      <c r="K40" s="140"/>
      <c r="L40" s="10"/>
      <c r="M40" s="137"/>
      <c r="N40" s="137"/>
      <c r="O40" s="8"/>
      <c r="P40" s="8"/>
      <c r="Q40" s="8"/>
      <c r="R40" s="8"/>
      <c r="S40" s="8"/>
      <c r="T40" s="8"/>
      <c r="U40" s="8"/>
    </row>
    <row r="41" spans="7:21" x14ac:dyDescent="0.25">
      <c r="G41" s="140"/>
      <c r="H41" s="140"/>
      <c r="I41" s="140"/>
      <c r="J41" s="140"/>
      <c r="K41" s="140"/>
      <c r="L41" s="10"/>
      <c r="M41" s="138"/>
      <c r="N41" s="138"/>
      <c r="O41" s="8"/>
      <c r="P41" s="8"/>
      <c r="Q41" s="8"/>
      <c r="R41" s="8"/>
      <c r="S41" s="8"/>
      <c r="T41" s="8"/>
      <c r="U41" s="8"/>
    </row>
    <row r="42" spans="7:21" ht="5.25" customHeight="1" x14ac:dyDescent="0.25">
      <c r="M42" s="20"/>
      <c r="N42" s="20"/>
    </row>
    <row r="43" spans="7:21" x14ac:dyDescent="0.25">
      <c r="G43" s="139" t="s">
        <v>31</v>
      </c>
      <c r="H43" s="139"/>
      <c r="I43" s="139"/>
      <c r="J43" s="139"/>
      <c r="K43" s="139"/>
      <c r="L43" s="9"/>
      <c r="M43" s="19"/>
      <c r="N43" s="19"/>
    </row>
    <row r="44" spans="7:21" ht="5.25" customHeight="1" x14ac:dyDescent="0.25">
      <c r="M44" s="20"/>
      <c r="N44" s="20"/>
    </row>
    <row r="45" spans="7:21" x14ac:dyDescent="0.25">
      <c r="G45" s="141"/>
      <c r="H45" s="142"/>
      <c r="I45" s="142"/>
      <c r="J45" s="142"/>
      <c r="K45" s="143"/>
      <c r="L45" s="9"/>
      <c r="M45" s="19"/>
      <c r="N45" s="19"/>
    </row>
    <row r="46" spans="7:21" ht="5.25" customHeight="1" x14ac:dyDescent="0.25">
      <c r="M46" s="20"/>
      <c r="N46" s="20"/>
    </row>
    <row r="47" spans="7:21" x14ac:dyDescent="0.25">
      <c r="G47" s="141"/>
      <c r="H47" s="142"/>
      <c r="I47" s="142"/>
      <c r="J47" s="142"/>
      <c r="K47" s="143"/>
      <c r="L47" s="9"/>
      <c r="M47" s="19"/>
      <c r="N47" s="19"/>
    </row>
    <row r="48" spans="7:21" ht="5.25" customHeight="1" x14ac:dyDescent="0.25">
      <c r="M48" s="20"/>
      <c r="N48" s="20"/>
    </row>
    <row r="49" spans="7:14" x14ac:dyDescent="0.25">
      <c r="G49" s="141"/>
      <c r="H49" s="142"/>
      <c r="I49" s="142"/>
      <c r="J49" s="142"/>
      <c r="K49" s="143"/>
      <c r="L49" s="9"/>
      <c r="M49" s="19"/>
      <c r="N49" s="19"/>
    </row>
    <row r="50" spans="7:14" ht="5.25" customHeight="1" thickBot="1" x14ac:dyDescent="0.3">
      <c r="M50" s="20"/>
      <c r="N50" s="20"/>
    </row>
    <row r="51" spans="7:14" ht="15.75" thickBot="1" x14ac:dyDescent="0.3">
      <c r="G51" s="126" t="s">
        <v>133</v>
      </c>
      <c r="H51" s="127"/>
      <c r="I51" s="127"/>
      <c r="J51" s="127"/>
      <c r="K51" s="128"/>
      <c r="M51" s="18">
        <f>SUM(M12:M49)</f>
        <v>0</v>
      </c>
      <c r="N51" s="18">
        <f>SUM(N12:N49)</f>
        <v>0</v>
      </c>
    </row>
    <row r="52" spans="7:14" ht="5.25" customHeight="1" x14ac:dyDescent="0.25">
      <c r="M52" s="20"/>
      <c r="N52" s="20"/>
    </row>
    <row r="53" spans="7:14" x14ac:dyDescent="0.25">
      <c r="G53" s="156"/>
      <c r="H53" s="156"/>
      <c r="I53" s="156"/>
      <c r="J53" s="156"/>
      <c r="K53" s="156"/>
      <c r="L53" s="154"/>
      <c r="M53" s="155"/>
      <c r="N53" s="155"/>
    </row>
    <row r="54" spans="7:14" ht="5.25" customHeight="1" x14ac:dyDescent="0.25">
      <c r="G54" s="154"/>
      <c r="H54" s="154"/>
      <c r="I54" s="154"/>
      <c r="J54" s="154"/>
      <c r="K54" s="154"/>
      <c r="L54" s="154"/>
      <c r="M54" s="155"/>
      <c r="N54" s="155"/>
    </row>
    <row r="55" spans="7:14" x14ac:dyDescent="0.25">
      <c r="G55" s="156"/>
      <c r="H55" s="156"/>
      <c r="I55" s="156"/>
      <c r="J55" s="156"/>
      <c r="K55" s="156"/>
      <c r="L55" s="154"/>
      <c r="M55" s="155"/>
      <c r="N55" s="155"/>
    </row>
    <row r="56" spans="7:14" x14ac:dyDescent="0.25">
      <c r="M56" s="20"/>
    </row>
  </sheetData>
  <mergeCells count="33">
    <mergeCell ref="O6:P7"/>
    <mergeCell ref="P20:R23"/>
    <mergeCell ref="N8:N9"/>
    <mergeCell ref="N14:N15"/>
    <mergeCell ref="N17:N18"/>
    <mergeCell ref="N40:N41"/>
    <mergeCell ref="G45:K45"/>
    <mergeCell ref="G49:K49"/>
    <mergeCell ref="G47:K47"/>
    <mergeCell ref="H3:M5"/>
    <mergeCell ref="H2:M2"/>
    <mergeCell ref="H6:M7"/>
    <mergeCell ref="G32:K32"/>
    <mergeCell ref="G34:K34"/>
    <mergeCell ref="G12:K12"/>
    <mergeCell ref="G14:K15"/>
    <mergeCell ref="M14:M15"/>
    <mergeCell ref="G17:K18"/>
    <mergeCell ref="M17:M18"/>
    <mergeCell ref="G51:K51"/>
    <mergeCell ref="G10:K10"/>
    <mergeCell ref="M8:M9"/>
    <mergeCell ref="G24:K24"/>
    <mergeCell ref="G28:K28"/>
    <mergeCell ref="G30:K30"/>
    <mergeCell ref="G26:K26"/>
    <mergeCell ref="M40:M41"/>
    <mergeCell ref="G22:K22"/>
    <mergeCell ref="G40:K41"/>
    <mergeCell ref="G20:K20"/>
    <mergeCell ref="G36:K36"/>
    <mergeCell ref="G38:K38"/>
    <mergeCell ref="G43:K43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9394B-F8C2-4C73-9678-67085731FA70}">
  <dimension ref="H1:N44"/>
  <sheetViews>
    <sheetView topLeftCell="A29" workbookViewId="0">
      <selection activeCell="F48" sqref="F48"/>
    </sheetView>
  </sheetViews>
  <sheetFormatPr defaultRowHeight="15" x14ac:dyDescent="0.25"/>
  <cols>
    <col min="8" max="8" width="51.5703125" bestFit="1" customWidth="1"/>
    <col min="9" max="9" width="18" style="22" customWidth="1"/>
  </cols>
  <sheetData>
    <row r="1" spans="8:14" ht="15.75" x14ac:dyDescent="0.25">
      <c r="H1" s="145" t="s">
        <v>70</v>
      </c>
      <c r="I1" s="145"/>
      <c r="J1" s="29"/>
      <c r="K1" s="29"/>
      <c r="L1" s="29"/>
      <c r="M1" s="29"/>
    </row>
    <row r="2" spans="8:14" ht="15" customHeight="1" x14ac:dyDescent="0.25">
      <c r="H2" s="144" t="s">
        <v>125</v>
      </c>
      <c r="I2" s="144"/>
      <c r="J2" s="15"/>
      <c r="K2" s="15"/>
      <c r="L2" s="15"/>
      <c r="M2" s="15"/>
    </row>
    <row r="3" spans="8:14" x14ac:dyDescent="0.25">
      <c r="H3" s="144"/>
      <c r="I3" s="144"/>
      <c r="J3" s="15"/>
      <c r="K3" s="15"/>
      <c r="L3" s="15"/>
      <c r="M3" s="15"/>
    </row>
    <row r="4" spans="8:14" x14ac:dyDescent="0.25">
      <c r="I4"/>
      <c r="M4" s="2"/>
    </row>
    <row r="5" spans="8:14" ht="15" customHeight="1" x14ac:dyDescent="0.25">
      <c r="J5" s="15"/>
      <c r="K5" s="15"/>
      <c r="L5" s="15"/>
      <c r="M5" s="15"/>
    </row>
    <row r="6" spans="8:14" x14ac:dyDescent="0.25">
      <c r="J6" s="15"/>
      <c r="K6" s="15"/>
      <c r="L6" s="15"/>
      <c r="M6" s="15"/>
    </row>
    <row r="7" spans="8:14" ht="15.75" thickBot="1" x14ac:dyDescent="0.3">
      <c r="I7" s="17" t="s">
        <v>126</v>
      </c>
      <c r="J7" s="17" t="s">
        <v>126</v>
      </c>
    </row>
    <row r="8" spans="8:14" x14ac:dyDescent="0.25">
      <c r="H8" s="24" t="s">
        <v>37</v>
      </c>
      <c r="I8" s="34"/>
      <c r="J8" s="34"/>
      <c r="N8" s="33"/>
    </row>
    <row r="9" spans="8:14" x14ac:dyDescent="0.25">
      <c r="H9" s="30" t="s">
        <v>41</v>
      </c>
      <c r="I9" s="31"/>
      <c r="J9" s="31"/>
    </row>
    <row r="10" spans="8:14" x14ac:dyDescent="0.25">
      <c r="H10" s="25" t="s">
        <v>38</v>
      </c>
      <c r="I10" s="26"/>
      <c r="J10" s="26"/>
    </row>
    <row r="11" spans="8:14" x14ac:dyDescent="0.25">
      <c r="H11" s="25" t="s">
        <v>39</v>
      </c>
      <c r="I11" s="26"/>
      <c r="J11" s="26"/>
    </row>
    <row r="12" spans="8:14" x14ac:dyDescent="0.25">
      <c r="H12" s="25" t="s">
        <v>45</v>
      </c>
      <c r="I12" s="26"/>
      <c r="J12" s="26"/>
    </row>
    <row r="13" spans="8:14" x14ac:dyDescent="0.25">
      <c r="H13" s="25" t="s">
        <v>40</v>
      </c>
      <c r="I13" s="26"/>
      <c r="J13" s="26"/>
    </row>
    <row r="14" spans="8:14" x14ac:dyDescent="0.25">
      <c r="H14" s="25" t="s">
        <v>47</v>
      </c>
      <c r="I14" s="26"/>
      <c r="J14" s="26"/>
    </row>
    <row r="15" spans="8:14" x14ac:dyDescent="0.25">
      <c r="H15" s="25" t="s">
        <v>48</v>
      </c>
      <c r="I15" s="26"/>
      <c r="J15" s="26"/>
      <c r="L15" s="150" t="s">
        <v>130</v>
      </c>
      <c r="M15" s="150"/>
      <c r="N15" s="150"/>
    </row>
    <row r="16" spans="8:14" x14ac:dyDescent="0.25">
      <c r="H16" s="25" t="s">
        <v>49</v>
      </c>
      <c r="I16" s="26"/>
      <c r="J16" s="26"/>
      <c r="L16" s="150"/>
      <c r="M16" s="150"/>
      <c r="N16" s="150"/>
    </row>
    <row r="17" spans="8:14" x14ac:dyDescent="0.25">
      <c r="H17" s="25" t="s">
        <v>54</v>
      </c>
      <c r="I17" s="26"/>
      <c r="J17" s="26"/>
      <c r="L17" s="150"/>
      <c r="M17" s="150"/>
      <c r="N17" s="150"/>
    </row>
    <row r="18" spans="8:14" x14ac:dyDescent="0.25">
      <c r="H18" s="25" t="s">
        <v>53</v>
      </c>
      <c r="I18" s="26"/>
      <c r="J18" s="26"/>
      <c r="L18" s="150"/>
      <c r="M18" s="150"/>
      <c r="N18" s="150"/>
    </row>
    <row r="19" spans="8:14" x14ac:dyDescent="0.25">
      <c r="H19" s="25" t="s">
        <v>50</v>
      </c>
      <c r="I19" s="26"/>
      <c r="J19" s="26"/>
    </row>
    <row r="20" spans="8:14" x14ac:dyDescent="0.25">
      <c r="H20" s="25" t="s">
        <v>51</v>
      </c>
      <c r="I20" s="26"/>
      <c r="J20" s="26"/>
    </row>
    <row r="21" spans="8:14" x14ac:dyDescent="0.25">
      <c r="H21" s="25" t="s">
        <v>52</v>
      </c>
      <c r="I21" s="26"/>
      <c r="J21" s="26"/>
    </row>
    <row r="22" spans="8:14" x14ac:dyDescent="0.25">
      <c r="H22" s="25" t="s">
        <v>55</v>
      </c>
      <c r="I22" s="26"/>
      <c r="J22" s="26"/>
    </row>
    <row r="23" spans="8:14" x14ac:dyDescent="0.25">
      <c r="H23" s="25" t="s">
        <v>56</v>
      </c>
      <c r="I23" s="26"/>
      <c r="J23" s="26"/>
    </row>
    <row r="24" spans="8:14" x14ac:dyDescent="0.25">
      <c r="H24" s="25" t="s">
        <v>57</v>
      </c>
      <c r="I24" s="26"/>
      <c r="J24" s="26"/>
    </row>
    <row r="25" spans="8:14" x14ac:dyDescent="0.25">
      <c r="H25" s="25" t="s">
        <v>61</v>
      </c>
      <c r="I25" s="26"/>
      <c r="J25" s="26"/>
    </row>
    <row r="26" spans="8:14" x14ac:dyDescent="0.25">
      <c r="H26" s="25" t="s">
        <v>66</v>
      </c>
      <c r="I26" s="26"/>
      <c r="J26" s="26"/>
    </row>
    <row r="27" spans="8:14" x14ac:dyDescent="0.25">
      <c r="H27" s="25" t="s">
        <v>58</v>
      </c>
      <c r="I27" s="26"/>
      <c r="J27" s="26"/>
    </row>
    <row r="28" spans="8:14" x14ac:dyDescent="0.25">
      <c r="H28" s="25" t="s">
        <v>65</v>
      </c>
      <c r="I28" s="26"/>
      <c r="J28" s="26"/>
    </row>
    <row r="29" spans="8:14" x14ac:dyDescent="0.25">
      <c r="H29" s="25" t="s">
        <v>59</v>
      </c>
      <c r="I29" s="26"/>
      <c r="J29" s="26"/>
    </row>
    <row r="30" spans="8:14" x14ac:dyDescent="0.25">
      <c r="H30" s="25" t="s">
        <v>60</v>
      </c>
      <c r="I30" s="26"/>
      <c r="J30" s="26"/>
    </row>
    <row r="31" spans="8:14" x14ac:dyDescent="0.25">
      <c r="H31" s="25" t="s">
        <v>62</v>
      </c>
      <c r="I31" s="26"/>
      <c r="J31" s="26"/>
    </row>
    <row r="32" spans="8:14" x14ac:dyDescent="0.25">
      <c r="H32" s="25" t="s">
        <v>63</v>
      </c>
      <c r="I32" s="26"/>
      <c r="J32" s="26"/>
    </row>
    <row r="33" spans="8:10" x14ac:dyDescent="0.25">
      <c r="H33" s="25" t="s">
        <v>127</v>
      </c>
      <c r="I33" s="26"/>
      <c r="J33" s="26"/>
    </row>
    <row r="34" spans="8:10" x14ac:dyDescent="0.25">
      <c r="H34" s="25" t="s">
        <v>67</v>
      </c>
      <c r="I34" s="26"/>
      <c r="J34" s="26"/>
    </row>
    <row r="35" spans="8:10" x14ac:dyDescent="0.25">
      <c r="H35" s="25" t="s">
        <v>68</v>
      </c>
      <c r="I35" s="26"/>
      <c r="J35" s="26"/>
    </row>
    <row r="36" spans="8:10" x14ac:dyDescent="0.25">
      <c r="H36" s="25" t="s">
        <v>64</v>
      </c>
      <c r="I36" s="26"/>
      <c r="J36" s="26"/>
    </row>
    <row r="37" spans="8:10" x14ac:dyDescent="0.25">
      <c r="H37" s="25" t="s">
        <v>129</v>
      </c>
      <c r="I37" s="26"/>
      <c r="J37" s="26"/>
    </row>
    <row r="38" spans="8:10" x14ac:dyDescent="0.25">
      <c r="H38" s="25" t="s">
        <v>128</v>
      </c>
      <c r="I38" s="26"/>
      <c r="J38" s="26"/>
    </row>
    <row r="39" spans="8:10" x14ac:dyDescent="0.25">
      <c r="H39" s="25"/>
      <c r="I39" s="26"/>
      <c r="J39" s="26"/>
    </row>
    <row r="40" spans="8:10" x14ac:dyDescent="0.25">
      <c r="H40" s="25"/>
      <c r="I40" s="26"/>
      <c r="J40" s="26"/>
    </row>
    <row r="41" spans="8:10" x14ac:dyDescent="0.25">
      <c r="H41" s="25"/>
      <c r="I41" s="26"/>
      <c r="J41" s="26"/>
    </row>
    <row r="42" spans="8:10" ht="15.75" thickBot="1" x14ac:dyDescent="0.3">
      <c r="H42" s="27"/>
      <c r="I42" s="28"/>
      <c r="J42" s="28"/>
    </row>
    <row r="43" spans="8:10" ht="5.25" customHeight="1" thickBot="1" x14ac:dyDescent="0.3">
      <c r="J43" s="22"/>
    </row>
    <row r="44" spans="8:10" ht="15.75" thickBot="1" x14ac:dyDescent="0.3">
      <c r="H44" s="21" t="s">
        <v>69</v>
      </c>
      <c r="I44" s="23">
        <f>SUM(I9:I42)</f>
        <v>0</v>
      </c>
      <c r="J44" s="23">
        <f>SUM(J9:J42)</f>
        <v>0</v>
      </c>
    </row>
  </sheetData>
  <mergeCells count="3">
    <mergeCell ref="H2:I3"/>
    <mergeCell ref="H1:I1"/>
    <mergeCell ref="L15:N18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E7A8-9E52-448C-9E04-56DC93033C4E}">
  <dimension ref="B3:S45"/>
  <sheetViews>
    <sheetView tabSelected="1" workbookViewId="0">
      <selection activeCell="Q7" sqref="Q7"/>
    </sheetView>
  </sheetViews>
  <sheetFormatPr defaultRowHeight="15" x14ac:dyDescent="0.25"/>
  <sheetData>
    <row r="3" spans="8:19" x14ac:dyDescent="0.25">
      <c r="Q3" s="50"/>
    </row>
    <row r="4" spans="8:19" x14ac:dyDescent="0.25">
      <c r="H4" s="144" t="s">
        <v>76</v>
      </c>
      <c r="I4" s="144"/>
      <c r="J4" s="144"/>
      <c r="K4" s="144"/>
      <c r="L4" s="144"/>
      <c r="M4" s="144"/>
      <c r="N4" s="144"/>
    </row>
    <row r="5" spans="8:19" x14ac:dyDescent="0.25">
      <c r="H5" s="144"/>
      <c r="I5" s="144"/>
      <c r="J5" s="144"/>
      <c r="K5" s="144"/>
      <c r="L5" s="144"/>
      <c r="M5" s="144"/>
      <c r="N5" s="144"/>
    </row>
    <row r="6" spans="8:19" ht="4.5" customHeight="1" x14ac:dyDescent="0.25"/>
    <row r="7" spans="8:19" ht="15" customHeight="1" x14ac:dyDescent="0.25">
      <c r="H7" s="144" t="s">
        <v>77</v>
      </c>
      <c r="I7" s="144"/>
      <c r="J7" s="144"/>
      <c r="K7" s="144"/>
      <c r="L7" s="144"/>
      <c r="M7" s="144"/>
      <c r="N7" s="144"/>
    </row>
    <row r="8" spans="8:19" ht="4.5" customHeight="1" x14ac:dyDescent="0.25"/>
    <row r="9" spans="8:19" ht="15" customHeight="1" x14ac:dyDescent="0.25">
      <c r="H9" s="76" t="s">
        <v>78</v>
      </c>
      <c r="I9" s="76"/>
      <c r="J9" s="76"/>
      <c r="K9" s="76"/>
      <c r="L9" s="76"/>
      <c r="M9" s="76"/>
      <c r="N9" s="76"/>
    </row>
    <row r="10" spans="8:19" x14ac:dyDescent="0.25">
      <c r="H10" s="76"/>
      <c r="I10" s="76"/>
      <c r="J10" s="76"/>
      <c r="K10" s="76"/>
      <c r="L10" s="76"/>
      <c r="M10" s="76"/>
      <c r="N10" s="76"/>
    </row>
    <row r="11" spans="8:19" ht="15" customHeight="1" x14ac:dyDescent="0.25">
      <c r="H11" s="10"/>
      <c r="J11" s="93" t="s">
        <v>79</v>
      </c>
      <c r="K11" s="93"/>
      <c r="L11" s="93"/>
      <c r="N11" s="58"/>
    </row>
    <row r="12" spans="8:19" ht="15" customHeight="1" x14ac:dyDescent="0.25">
      <c r="H12" s="10"/>
      <c r="J12" s="93" t="s">
        <v>80</v>
      </c>
      <c r="K12" s="93"/>
      <c r="L12" s="93"/>
      <c r="N12" s="58"/>
    </row>
    <row r="13" spans="8:19" ht="4.5" customHeight="1" x14ac:dyDescent="0.25"/>
    <row r="14" spans="8:19" ht="15" customHeight="1" x14ac:dyDescent="0.25">
      <c r="H14" s="144" t="s">
        <v>81</v>
      </c>
      <c r="I14" s="144"/>
      <c r="J14" s="144"/>
      <c r="K14" s="144"/>
      <c r="L14" s="144"/>
      <c r="M14" s="144"/>
      <c r="N14" s="144"/>
    </row>
    <row r="15" spans="8:19" ht="15" customHeight="1" x14ac:dyDescent="0.25">
      <c r="I15" s="147" t="s">
        <v>82</v>
      </c>
      <c r="J15" s="147"/>
      <c r="K15" s="147"/>
      <c r="L15" s="147"/>
      <c r="M15" s="147"/>
      <c r="N15" s="147"/>
      <c r="O15" s="15"/>
      <c r="P15" s="15"/>
      <c r="Q15" s="15"/>
      <c r="R15" s="15"/>
      <c r="S15" s="15"/>
    </row>
    <row r="16" spans="8:19" x14ac:dyDescent="0.25">
      <c r="I16" s="147"/>
      <c r="J16" s="147"/>
      <c r="K16" s="147"/>
      <c r="L16" s="147"/>
      <c r="M16" s="147"/>
      <c r="N16" s="147"/>
      <c r="O16" s="15"/>
      <c r="P16" s="15"/>
      <c r="Q16" s="15"/>
      <c r="R16" s="15"/>
      <c r="S16" s="15"/>
    </row>
    <row r="17" spans="8:14" ht="15" customHeight="1" x14ac:dyDescent="0.25">
      <c r="I17" s="144" t="s">
        <v>83</v>
      </c>
      <c r="J17" s="144"/>
      <c r="K17" s="144"/>
      <c r="L17" s="144"/>
      <c r="M17" s="144"/>
      <c r="N17" s="144"/>
    </row>
    <row r="18" spans="8:14" ht="4.5" customHeight="1" x14ac:dyDescent="0.25"/>
    <row r="19" spans="8:14" ht="15" customHeight="1" x14ac:dyDescent="0.25">
      <c r="H19" s="144" t="s">
        <v>84</v>
      </c>
      <c r="I19" s="144"/>
      <c r="J19" s="144"/>
      <c r="K19" s="144"/>
      <c r="L19" s="144"/>
      <c r="M19" s="144"/>
      <c r="N19" s="144"/>
    </row>
    <row r="20" spans="8:14" x14ac:dyDescent="0.25">
      <c r="H20" s="144"/>
      <c r="I20" s="144"/>
      <c r="J20" s="144"/>
      <c r="K20" s="144"/>
      <c r="L20" s="144"/>
      <c r="M20" s="144"/>
      <c r="N20" s="144"/>
    </row>
    <row r="21" spans="8:14" ht="4.5" customHeight="1" x14ac:dyDescent="0.25"/>
    <row r="22" spans="8:14" x14ac:dyDescent="0.25">
      <c r="H22" s="93" t="s">
        <v>85</v>
      </c>
      <c r="I22" s="93"/>
      <c r="J22" s="93"/>
      <c r="K22" s="93"/>
      <c r="L22" s="93"/>
      <c r="M22" s="93"/>
      <c r="N22" s="93"/>
    </row>
    <row r="23" spans="8:14" x14ac:dyDescent="0.25">
      <c r="I23" s="93" t="s">
        <v>86</v>
      </c>
      <c r="J23" s="93"/>
      <c r="K23" s="93"/>
      <c r="L23" s="93"/>
      <c r="M23" s="93"/>
      <c r="N23" s="93"/>
    </row>
    <row r="24" spans="8:14" x14ac:dyDescent="0.25">
      <c r="H24" s="93" t="s">
        <v>87</v>
      </c>
      <c r="I24" s="93"/>
      <c r="J24" s="93"/>
      <c r="K24" s="93"/>
      <c r="L24" s="93"/>
      <c r="M24" s="93"/>
      <c r="N24" s="93"/>
    </row>
    <row r="25" spans="8:14" ht="4.5" customHeight="1" x14ac:dyDescent="0.25"/>
    <row r="26" spans="8:14" x14ac:dyDescent="0.25">
      <c r="I26" s="93" t="s">
        <v>89</v>
      </c>
      <c r="J26" s="93"/>
      <c r="K26" s="93"/>
      <c r="L26" s="93"/>
      <c r="M26" s="93"/>
      <c r="N26" s="93"/>
    </row>
    <row r="27" spans="8:14" x14ac:dyDescent="0.25">
      <c r="H27" s="93" t="s">
        <v>88</v>
      </c>
      <c r="I27" s="93"/>
      <c r="J27" s="93"/>
      <c r="K27" s="93"/>
      <c r="L27" s="93"/>
      <c r="M27" s="93"/>
      <c r="N27" s="93"/>
    </row>
    <row r="28" spans="8:14" ht="4.5" customHeight="1" x14ac:dyDescent="0.25"/>
    <row r="29" spans="8:14" x14ac:dyDescent="0.25">
      <c r="I29" s="93" t="s">
        <v>90</v>
      </c>
      <c r="J29" s="93"/>
      <c r="K29" s="93"/>
      <c r="L29" s="93"/>
      <c r="M29" s="93"/>
      <c r="N29" s="93"/>
    </row>
    <row r="30" spans="8:14" x14ac:dyDescent="0.25">
      <c r="H30" s="144" t="s">
        <v>91</v>
      </c>
      <c r="I30" s="144"/>
      <c r="J30" s="144"/>
      <c r="K30" s="144"/>
      <c r="L30" s="144"/>
      <c r="M30" s="144"/>
      <c r="N30" s="144"/>
    </row>
    <row r="31" spans="8:14" x14ac:dyDescent="0.25">
      <c r="H31" s="144"/>
      <c r="I31" s="144"/>
      <c r="J31" s="144"/>
      <c r="K31" s="144"/>
      <c r="L31" s="144"/>
      <c r="M31" s="144"/>
      <c r="N31" s="144"/>
    </row>
    <row r="32" spans="8:14" ht="4.5" customHeight="1" x14ac:dyDescent="0.25"/>
    <row r="33" spans="2:14" x14ac:dyDescent="0.25">
      <c r="I33" s="93" t="s">
        <v>92</v>
      </c>
      <c r="J33" s="93"/>
      <c r="K33" s="93"/>
      <c r="L33" s="93"/>
      <c r="M33" s="93"/>
      <c r="N33" s="93"/>
    </row>
    <row r="34" spans="2:14" x14ac:dyDescent="0.25">
      <c r="H34" s="76" t="s">
        <v>93</v>
      </c>
      <c r="I34" s="76"/>
      <c r="J34" s="76"/>
      <c r="K34" s="76"/>
      <c r="L34" s="76"/>
      <c r="M34" s="76"/>
      <c r="N34" s="76"/>
    </row>
    <row r="35" spans="2:14" x14ac:dyDescent="0.25">
      <c r="H35" s="76"/>
      <c r="I35" s="76"/>
      <c r="J35" s="76"/>
      <c r="K35" s="76"/>
      <c r="L35" s="76"/>
      <c r="M35" s="76"/>
      <c r="N35" s="76"/>
    </row>
    <row r="36" spans="2:14" ht="4.5" customHeight="1" x14ac:dyDescent="0.25"/>
    <row r="37" spans="2:14" ht="15" customHeight="1" x14ac:dyDescent="0.25">
      <c r="B37" s="149" t="s">
        <v>97</v>
      </c>
      <c r="C37" s="149"/>
      <c r="D37" s="59"/>
      <c r="E37" s="59"/>
      <c r="F37" s="59"/>
      <c r="I37" s="3" t="s">
        <v>95</v>
      </c>
    </row>
    <row r="38" spans="2:14" ht="15" customHeight="1" x14ac:dyDescent="0.25">
      <c r="B38" s="150" t="s">
        <v>98</v>
      </c>
      <c r="C38" s="150"/>
      <c r="D38" s="150"/>
      <c r="E38" s="150"/>
      <c r="F38" s="150"/>
      <c r="H38" s="144" t="s">
        <v>94</v>
      </c>
      <c r="I38" s="144"/>
      <c r="J38" s="144"/>
      <c r="K38" s="144"/>
      <c r="L38" s="144"/>
      <c r="M38" s="144"/>
      <c r="N38" s="15"/>
    </row>
    <row r="39" spans="2:14" x14ac:dyDescent="0.25">
      <c r="B39" s="150"/>
      <c r="C39" s="150"/>
      <c r="D39" s="150"/>
      <c r="E39" s="150"/>
      <c r="F39" s="150"/>
      <c r="H39" s="144"/>
      <c r="I39" s="144"/>
      <c r="J39" s="144"/>
      <c r="K39" s="144"/>
      <c r="L39" s="144"/>
      <c r="M39" s="144"/>
      <c r="N39" s="15"/>
    </row>
    <row r="40" spans="2:14" ht="4.5" customHeight="1" x14ac:dyDescent="0.25">
      <c r="B40" s="150"/>
      <c r="C40" s="150"/>
      <c r="D40" s="150"/>
      <c r="E40" s="150"/>
      <c r="F40" s="150"/>
    </row>
    <row r="41" spans="2:14" ht="15" customHeight="1" x14ac:dyDescent="0.25">
      <c r="B41" s="150"/>
      <c r="C41" s="150"/>
      <c r="D41" s="150"/>
      <c r="E41" s="150"/>
      <c r="F41" s="150"/>
      <c r="H41" s="148" t="s">
        <v>96</v>
      </c>
      <c r="I41" s="148"/>
      <c r="J41" s="148"/>
      <c r="K41" s="148"/>
      <c r="L41" s="148"/>
      <c r="M41" s="148"/>
    </row>
    <row r="42" spans="2:14" ht="15" customHeight="1" x14ac:dyDescent="0.25">
      <c r="B42" s="150" t="s">
        <v>99</v>
      </c>
      <c r="C42" s="150"/>
      <c r="D42" s="150"/>
      <c r="E42" s="150"/>
      <c r="F42" s="150"/>
      <c r="H42" s="148"/>
      <c r="I42" s="148"/>
      <c r="J42" s="148"/>
      <c r="K42" s="148"/>
      <c r="L42" s="148"/>
      <c r="M42" s="148"/>
    </row>
    <row r="43" spans="2:14" x14ac:dyDescent="0.25">
      <c r="B43" s="150"/>
      <c r="C43" s="150"/>
      <c r="D43" s="150"/>
      <c r="E43" s="150"/>
      <c r="F43" s="150"/>
      <c r="H43" s="148"/>
      <c r="I43" s="148"/>
      <c r="J43" s="148"/>
      <c r="K43" s="148"/>
      <c r="L43" s="148"/>
      <c r="M43" s="148"/>
    </row>
    <row r="44" spans="2:14" ht="15" customHeight="1" x14ac:dyDescent="0.25">
      <c r="B44" s="13"/>
      <c r="C44" s="13"/>
      <c r="D44" s="13"/>
      <c r="E44" s="13"/>
      <c r="F44" s="13"/>
      <c r="H44" s="151" t="s">
        <v>100</v>
      </c>
      <c r="I44" s="151"/>
      <c r="J44" s="151"/>
      <c r="K44" s="151"/>
      <c r="L44" s="151"/>
      <c r="M44" s="151"/>
    </row>
    <row r="45" spans="2:14" x14ac:dyDescent="0.25">
      <c r="H45" s="60"/>
      <c r="I45" s="60"/>
      <c r="J45" s="152" t="s">
        <v>101</v>
      </c>
      <c r="K45" s="152"/>
      <c r="L45" s="60"/>
      <c r="M45" s="60"/>
    </row>
  </sheetData>
  <mergeCells count="25">
    <mergeCell ref="B37:C37"/>
    <mergeCell ref="B38:F41"/>
    <mergeCell ref="B42:F43"/>
    <mergeCell ref="H44:M44"/>
    <mergeCell ref="J45:K45"/>
    <mergeCell ref="H38:M39"/>
    <mergeCell ref="H41:M43"/>
    <mergeCell ref="H19:N20"/>
    <mergeCell ref="I23:N23"/>
    <mergeCell ref="H24:N24"/>
    <mergeCell ref="I26:N26"/>
    <mergeCell ref="H27:N27"/>
    <mergeCell ref="H22:N22"/>
    <mergeCell ref="I29:N29"/>
    <mergeCell ref="H30:N31"/>
    <mergeCell ref="I17:N17"/>
    <mergeCell ref="H9:N10"/>
    <mergeCell ref="J11:L11"/>
    <mergeCell ref="I33:N33"/>
    <mergeCell ref="H34:N35"/>
    <mergeCell ref="H4:N5"/>
    <mergeCell ref="H7:N7"/>
    <mergeCell ref="J12:L12"/>
    <mergeCell ref="H14:N14"/>
    <mergeCell ref="I15:N1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ANÁLISE MENSAL</vt:lpstr>
      <vt:lpstr>GASTOS COM VENDAS</vt:lpstr>
      <vt:lpstr>CUSTOS FIXOS</vt:lpstr>
      <vt:lpstr>INCONSISTÊNCIA NO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Antonio Pereira Garcia</dc:creator>
  <cp:lastModifiedBy>Carlos Antonio Pereira Garcia</cp:lastModifiedBy>
  <dcterms:created xsi:type="dcterms:W3CDTF">2026-03-11T11:17:49Z</dcterms:created>
  <dcterms:modified xsi:type="dcterms:W3CDTF">2026-05-04T19:21:26Z</dcterms:modified>
</cp:coreProperties>
</file>