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a\Desktop\"/>
    </mc:Choice>
  </mc:AlternateContent>
  <xr:revisionPtr revIDLastSave="0" documentId="8_{0B46E27F-B8DB-40EC-AF7F-E84D47426B62}" xr6:coauthVersionLast="47" xr6:coauthVersionMax="47" xr10:uidLastSave="{00000000-0000-0000-0000-000000000000}"/>
  <bookViews>
    <workbookView xWindow="-120" yWindow="-120" windowWidth="20730" windowHeight="11160" xr2:uid="{6F5A1A43-C271-4AD8-A2A0-CC87A660F50E}"/>
  </bookViews>
  <sheets>
    <sheet name="Primeira tela" sheetId="1" r:id="rId1"/>
    <sheet name="An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  <c r="R36" i="1"/>
  <c r="R35" i="1"/>
  <c r="D32" i="1"/>
  <c r="D41" i="1"/>
  <c r="D38" i="1"/>
  <c r="Q36" i="1"/>
  <c r="Q35" i="1"/>
  <c r="Q34" i="1"/>
  <c r="Q33" i="1"/>
  <c r="E26" i="1"/>
  <c r="E21" i="1"/>
  <c r="E23" i="1"/>
  <c r="E20" i="1"/>
  <c r="D31" i="1"/>
  <c r="D28" i="1"/>
  <c r="D25" i="1"/>
  <c r="D27" i="1" s="1"/>
  <c r="D24" i="1"/>
  <c r="E24" i="1" s="1"/>
  <c r="D19" i="1"/>
  <c r="R31" i="1" s="1"/>
  <c r="J29" i="1"/>
  <c r="D34" i="1" l="1"/>
  <c r="R32" i="1" s="1"/>
  <c r="Q32" i="1"/>
  <c r="Q31" i="1"/>
  <c r="D35" i="1"/>
  <c r="D33" i="1" s="1"/>
  <c r="R33" i="1" l="1"/>
  <c r="E38" i="1"/>
  <c r="E41" i="1"/>
  <c r="R34" i="1"/>
  <c r="D37" i="1" s="1"/>
  <c r="D36" i="1"/>
  <c r="E36" i="1" s="1"/>
  <c r="D39" i="1" l="1"/>
  <c r="E39" i="1" s="1"/>
  <c r="E37" i="1"/>
  <c r="D43" i="1"/>
  <c r="J42" i="1" s="1"/>
  <c r="D40" i="1"/>
  <c r="D42" i="1" s="1"/>
</calcChain>
</file>

<file path=xl/sharedStrings.xml><?xml version="1.0" encoding="utf-8"?>
<sst xmlns="http://schemas.openxmlformats.org/spreadsheetml/2006/main" count="89" uniqueCount="75">
  <si>
    <t>Lucrar Mais</t>
  </si>
  <si>
    <t>Aqui você poderá fazer simulações, seja para analisar qual teria sido o resultado do passado com números diferentes, seja para definir as melhores providências em função do que está por vir.</t>
  </si>
  <si>
    <t>é possível</t>
  </si>
  <si>
    <t>Informe o mês que você quer analisar:</t>
  </si>
  <si>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Mês selecionado</t>
    </r>
  </si>
  <si>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Último mês informado</t>
    </r>
  </si>
  <si>
    <t>Junho</t>
  </si>
  <si>
    <t>Julho</t>
  </si>
  <si>
    <t>SIM</t>
  </si>
  <si>
    <t>NÃO</t>
  </si>
  <si>
    <r>
      <t xml:space="preserve">SE(E(HOJE for maior que o dia primeiro dia 6 do mês atual </t>
    </r>
    <r>
      <rPr>
        <b/>
        <u/>
        <sz val="12"/>
        <color rgb="FFC00000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 xml:space="preserve"> o último mês informado em Dados Básicos não for o imediatamente anterior ao atual;</t>
    </r>
    <r>
      <rPr>
        <b/>
        <sz val="12"/>
        <color theme="1"/>
        <rFont val="Calibri"/>
        <family val="2"/>
        <scheme val="minor"/>
      </rPr>
      <t>"Para uma análise mais precisa recomendamos anotar em Dados Básicos os valores do mês passado."</t>
    </r>
    <r>
      <rPr>
        <sz val="12"/>
        <color theme="1"/>
        <rFont val="Calibri"/>
        <family val="2"/>
        <scheme val="minor"/>
      </rPr>
      <t>;"")</t>
    </r>
  </si>
  <si>
    <r>
      <rPr>
        <sz val="12"/>
        <color theme="1"/>
        <rFont val="Calibri"/>
        <family val="2"/>
        <scheme val="minor"/>
      </rPr>
      <t>SE((B) for anterior a (A);</t>
    </r>
    <r>
      <rPr>
        <b/>
        <sz val="12"/>
        <color theme="1"/>
        <rFont val="Calibri"/>
        <family val="2"/>
        <scheme val="minor"/>
      </rPr>
      <t xml:space="preserve">"Em relação a </t>
    </r>
    <r>
      <rPr>
        <b/>
        <sz val="12"/>
        <color rgb="FFC00000"/>
        <rFont val="Calibri"/>
        <family val="2"/>
        <scheme val="minor"/>
      </rPr>
      <t>(B)</t>
    </r>
    <r>
      <rPr>
        <b/>
        <sz val="12"/>
        <color theme="1"/>
        <rFont val="Calibri"/>
        <family val="2"/>
        <scheme val="minor"/>
      </rPr>
      <t xml:space="preserve"> ocorreram  alterações de valores?";</t>
    </r>
    <r>
      <rPr>
        <sz val="12"/>
        <color theme="1"/>
        <rFont val="Calibri"/>
        <family val="2"/>
        <scheme val="minor"/>
      </rPr>
      <t>SE((A) for &gt; Mês atual;</t>
    </r>
    <r>
      <rPr>
        <b/>
        <sz val="12"/>
        <color theme="1"/>
        <rFont val="Calibri"/>
        <family val="2"/>
        <scheme val="minor"/>
      </rPr>
      <t>"Em relação a (B)  estão previstas  alterações de valores?"))</t>
    </r>
  </si>
  <si>
    <t>CADASTRO</t>
  </si>
  <si>
    <t>x</t>
  </si>
  <si>
    <t>Seus preços de vendas</t>
  </si>
  <si>
    <t>Gastos com vendas</t>
  </si>
  <si>
    <t>Custos operacionais e adm.</t>
  </si>
  <si>
    <t>%</t>
  </si>
  <si>
    <t>Capacidade de atendimento</t>
  </si>
  <si>
    <t>Perdas</t>
  </si>
  <si>
    <t>Margem ideal</t>
  </si>
  <si>
    <t>Quantidade de clientes atend.</t>
  </si>
  <si>
    <t>Faturamento</t>
  </si>
  <si>
    <t>Ticket médio</t>
  </si>
  <si>
    <t>Custo dos insumos e prod. Terc.</t>
  </si>
  <si>
    <t>Custo da mão de obra direta</t>
  </si>
  <si>
    <t>Custo de produção</t>
  </si>
  <si>
    <t>Margem de contribuição</t>
  </si>
  <si>
    <t>Custos fixos</t>
  </si>
  <si>
    <t>Ponto equilíbrio (quant. Clientes)</t>
  </si>
  <si>
    <t>Margem</t>
  </si>
  <si>
    <t>DADOS BÁSICOS (de "B")</t>
  </si>
  <si>
    <t>Preço médio</t>
  </si>
  <si>
    <t>DE</t>
  </si>
  <si>
    <t>PARA</t>
  </si>
  <si>
    <t>Valor médio das vendas por cliente</t>
  </si>
  <si>
    <t>Em (B) sua empresa vendeu para (D17) clientes. Para quantos você estima que poderá vender em (A)?</t>
  </si>
  <si>
    <t>DADOS BÁSICOS ESTIMADOS PARA (A)</t>
  </si>
  <si>
    <t>SE(P30="";D19;SE(E(N30="";O30="";P30&gt;0);D19;SE(E(N30&gt;"";O30="";P30&gt;0);D19*(100%+P30);SE(E(N30="";O30&gt;"";P30&gt;0);D19*(100%-P30)))))</t>
  </si>
  <si>
    <t>SE(P32="";D32*E20;SE(E(N32="";O32="";P32&gt;0);D32*E20;SE(E(N32&gt;"";O32="";P32&gt;0);D32*E20*(100%+P32);SE(E(N32="";O32&gt;"";P32&gt;0);D32*D32*E20*(100%-P32)))))</t>
  </si>
  <si>
    <t>SE(P33="";Q30*M21*E21;SE(E(N33="";O33="";P33&gt;0);Q30*M21*E21;SE(E(N33&gt;"";O33="";P33&gt;0);Q30*M21*E21*(100%+P33);SE(E(N33="";O33&gt;"";P33&gt;0);Q30*M21*E21*(100%-P33)))))</t>
  </si>
  <si>
    <t>SE(P34="";D22;SE(E(N34="";O34="";P34&gt;0);D22;SE(E(N34&gt;"";O34="";P34&gt;0);D22*(100%+P34);SE(E(N34="";O34&gt;"";P34&gt;0);D22*(100%-P34)))))</t>
  </si>
  <si>
    <t>SE(P35="";D25;SE(E(N35="";O35="";P35&gt;0);D25;SE(E(N35&gt;"";O35="";P35&gt;0);D25*(100%+P35);SE(E(N35="";O35&gt;"";P35&gt;0);D25*(100%-P35)))))</t>
  </si>
  <si>
    <t>SE(P31="";R30;SE(E(N31="";O31="";P31&gt;0);R30;SE(E(N31&gt;"";O31="";P31&gt;0);R30*(100%+P31);SE(E(N31="";O31&gt;"";P31&gt;0);R30*(100%-P31)))))</t>
  </si>
  <si>
    <r>
      <rPr>
        <b/>
        <sz val="11"/>
        <color rgb="FFC00000"/>
        <rFont val="Calibri"/>
        <family val="2"/>
        <scheme val="minor"/>
      </rPr>
      <t>(Y%)</t>
    </r>
    <r>
      <rPr>
        <sz val="11"/>
        <color theme="1"/>
        <rFont val="Calibri"/>
        <family val="2"/>
        <scheme val="minor"/>
      </rPr>
      <t xml:space="preserve"> = (Faturamento previsto R$Y-(Gasto com vendas R31+Custo os insumos e prod.terceiros R33+custo mão de obra direta R34 + custos operac. e adm R35)/Faturamento previsto R$Y</t>
    </r>
  </si>
  <si>
    <r>
      <rPr>
        <b/>
        <sz val="11"/>
        <color rgb="FFC00000"/>
        <rFont val="Calibri"/>
        <family val="2"/>
        <scheme val="minor"/>
      </rPr>
      <t>(Y1)</t>
    </r>
    <r>
      <rPr>
        <sz val="11"/>
        <color theme="1"/>
        <rFont val="Calibri"/>
        <family val="2"/>
        <scheme val="minor"/>
      </rPr>
      <t xml:space="preserve"> = SE(Faturamento previsto R$Y&lt;0;"prejuízo";SE(Faturamento previsto R$Y = 0;"margem";SE(Faturamento previsto R$Y&gt;0;"lucro")))</t>
    </r>
  </si>
  <si>
    <r>
      <rPr>
        <b/>
        <sz val="11"/>
        <color rgb="FFC00000"/>
        <rFont val="Calibri"/>
        <family val="2"/>
        <scheme val="minor"/>
      </rPr>
      <t>(R$Y)</t>
    </r>
    <r>
      <rPr>
        <sz val="11"/>
        <color theme="1"/>
        <rFont val="Calibri"/>
        <family val="2"/>
        <scheme val="minor"/>
      </rPr>
      <t xml:space="preserve"> = Faturamento previsto R$Y = Valor médio vendas previsto R31 * Quantidade de vendas em (A) M21</t>
    </r>
  </si>
  <si>
    <r>
      <rPr>
        <b/>
        <sz val="11"/>
        <color rgb="FFC00000"/>
        <rFont val="Calibri"/>
        <family val="2"/>
        <scheme val="minor"/>
      </rPr>
      <t>(*1)</t>
    </r>
    <r>
      <rPr>
        <sz val="11"/>
        <color theme="1"/>
        <rFont val="Calibri"/>
        <family val="2"/>
        <scheme val="minor"/>
      </rPr>
      <t xml:space="preserve"> Este título se aplica para todos os segmentos, menos para "comércio": </t>
    </r>
    <r>
      <rPr>
        <b/>
        <sz val="11"/>
        <color theme="1"/>
        <rFont val="Calibri"/>
        <family val="2"/>
        <scheme val="minor"/>
      </rPr>
      <t>Gastos com compra de mercadorias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</si>
  <si>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rgb="FFC00000"/>
        <rFont val="Calibri"/>
        <family val="2"/>
        <scheme val="minor"/>
      </rPr>
      <t>(*2)</t>
    </r>
    <r>
      <rPr>
        <sz val="11"/>
        <color theme="1"/>
        <rFont val="Calibri"/>
        <family val="2"/>
        <scheme val="minor"/>
      </rPr>
      <t xml:space="preserve"> não se aplica para "comércio".</t>
    </r>
  </si>
  <si>
    <r>
      <t>Custo dos insumos e prod. Terc.</t>
    </r>
    <r>
      <rPr>
        <b/>
        <sz val="11"/>
        <color rgb="FFC00000"/>
        <rFont val="Calibri"/>
        <family val="2"/>
        <scheme val="minor"/>
      </rPr>
      <t xml:space="preserve"> (*1)</t>
    </r>
  </si>
  <si>
    <r>
      <t xml:space="preserve">Custo da mão de obra direta </t>
    </r>
    <r>
      <rPr>
        <b/>
        <sz val="11"/>
        <color rgb="FFC00000"/>
        <rFont val="Calibri"/>
        <family val="2"/>
        <scheme val="minor"/>
      </rPr>
      <t>(*2)</t>
    </r>
  </si>
  <si>
    <r>
      <t xml:space="preserve">Custo de produção </t>
    </r>
    <r>
      <rPr>
        <b/>
        <sz val="11"/>
        <color rgb="FFC00000"/>
        <rFont val="Calibri"/>
        <family val="2"/>
        <scheme val="minor"/>
      </rPr>
      <t>(*3)</t>
    </r>
  </si>
  <si>
    <r>
      <rPr>
        <b/>
        <sz val="11"/>
        <color rgb="FFC00000"/>
        <rFont val="Calibri"/>
        <family val="2"/>
        <scheme val="minor"/>
      </rPr>
      <t>(*3)</t>
    </r>
    <r>
      <rPr>
        <sz val="11"/>
        <color theme="1"/>
        <rFont val="Calibri"/>
        <family val="2"/>
        <scheme val="minor"/>
      </rPr>
      <t xml:space="preserve"> não se aplica para "comércio". No caso de "serviços": Custo de atendimento.</t>
    </r>
  </si>
  <si>
    <r>
      <t xml:space="preserve">Custo mão de obra direta </t>
    </r>
    <r>
      <rPr>
        <b/>
        <sz val="11"/>
        <color rgb="FFC00000"/>
        <rFont val="Calibri"/>
        <family val="2"/>
        <scheme val="minor"/>
      </rPr>
      <t>(*2)</t>
    </r>
  </si>
  <si>
    <r>
      <t>Custo insumos e Prod. Terc.</t>
    </r>
    <r>
      <rPr>
        <b/>
        <sz val="11"/>
        <color rgb="FFC00000"/>
        <rFont val="Calibri"/>
        <family val="2"/>
        <scheme val="minor"/>
      </rPr>
      <t xml:space="preserve"> (*1)</t>
    </r>
  </si>
  <si>
    <t>DESCRIÇÃO 1</t>
  </si>
  <si>
    <t>DESCRIÇÃO 2</t>
  </si>
  <si>
    <r>
      <t xml:space="preserve">SE(Se resposta </t>
    </r>
    <r>
      <rPr>
        <b/>
        <sz val="11"/>
        <color rgb="FFC00000"/>
        <rFont val="Calibri"/>
        <family val="2"/>
        <scheme val="minor"/>
      </rPr>
      <t>NÃO</t>
    </r>
    <r>
      <rPr>
        <sz val="11"/>
        <color theme="1"/>
        <rFont val="Calibri"/>
        <family val="2"/>
        <scheme val="minor"/>
      </rPr>
      <t>&gt;"";"Com esta previsão de vendas, mantidos os valores e incidência dos custos de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 xml:space="preserve">, em princípio podemos estimar que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resultará em </t>
    </r>
    <r>
      <rPr>
        <b/>
        <sz val="11"/>
        <color rgb="FFC00000"/>
        <rFont val="Calibri"/>
        <family val="2"/>
        <scheme val="minor"/>
      </rPr>
      <t>(Y%)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rgb="FFC00000"/>
        <rFont val="Calibri"/>
        <family val="2"/>
        <scheme val="minor"/>
      </rPr>
      <t>(Y1)</t>
    </r>
    <r>
      <rPr>
        <sz val="11"/>
        <color theme="1"/>
        <rFont val="Calibri"/>
        <family val="2"/>
        <scheme val="minor"/>
      </rPr>
      <t xml:space="preserve"> de um faturamento de </t>
    </r>
    <r>
      <rPr>
        <b/>
        <sz val="11"/>
        <color rgb="FFC00000"/>
        <rFont val="Calibri"/>
        <family val="2"/>
        <scheme val="minor"/>
      </rPr>
      <t>(R$Y)</t>
    </r>
    <r>
      <rPr>
        <sz val="11"/>
        <color theme="1"/>
        <rFont val="Calibri"/>
        <family val="2"/>
        <scheme val="minor"/>
      </rPr>
      <t xml:space="preserve">.";SE(Se resposta </t>
    </r>
    <r>
      <rPr>
        <b/>
        <sz val="11"/>
        <color rgb="FFC00000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&gt;"";"Com esta previsão de vendas e alteração dos valores de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, em princípio podemos estimar que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resultará em</t>
    </r>
    <r>
      <rPr>
        <b/>
        <sz val="11"/>
        <color rgb="FFC00000"/>
        <rFont val="Calibri"/>
        <family val="2"/>
        <scheme val="minor"/>
      </rPr>
      <t xml:space="preserve"> (Y%)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rgb="FFC00000"/>
        <rFont val="Calibri"/>
        <family val="2"/>
        <scheme val="minor"/>
      </rPr>
      <t>(Y1)</t>
    </r>
    <r>
      <rPr>
        <sz val="11"/>
        <color theme="1"/>
        <rFont val="Calibri"/>
        <family val="2"/>
        <scheme val="minor"/>
      </rPr>
      <t xml:space="preserve"> de um faturamento de</t>
    </r>
    <r>
      <rPr>
        <b/>
        <sz val="11"/>
        <color rgb="FFC00000"/>
        <rFont val="Calibri"/>
        <family val="2"/>
        <scheme val="minor"/>
      </rPr>
      <t xml:space="preserve"> (R$Y)</t>
    </r>
    <r>
      <rPr>
        <sz val="11"/>
        <color theme="1"/>
        <rFont val="Calibri"/>
        <family val="2"/>
        <scheme val="minor"/>
      </rPr>
      <t>."))</t>
    </r>
  </si>
  <si>
    <r>
      <t xml:space="preserve">SE(E(Margem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>&lt;Margem mês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 xml:space="preserve">;Margem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&lt;Margem ideal);"Esta previsão de um lucro menor em relação ao de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torna ainda mais distante a meta que você considera ideal. Vamos anlisar algumas providências?";SE(E(Margem mês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&gt;Margem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&lt;Margem ideal);"Esta previsão de um lucro maior não é suficiente para alcançar a meta que você considera ideal. Vamos anlisar algumas providências?";SE(E(Margem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&gt;Margem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>&gt;=Margem ideal);"Esta previsão de lucro atende a meta que você considera ideal. Vamos ver se dá para melhorar?";SE(E(Margem mês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 xml:space="preserve">&lt;0;Margem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&lt;0;Margem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>&gt;Margem mês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>);"A perspectiva para</t>
    </r>
    <r>
      <rPr>
        <b/>
        <sz val="11"/>
        <color rgb="FFC00000"/>
        <rFont val="Calibri"/>
        <family val="2"/>
        <scheme val="minor"/>
      </rPr>
      <t xml:space="preserve"> (A)</t>
    </r>
    <r>
      <rPr>
        <sz val="11"/>
        <color theme="1"/>
        <rFont val="Calibri"/>
        <family val="2"/>
        <scheme val="minor"/>
      </rPr>
      <t xml:space="preserve"> é de piora em relação a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>. Vamos anlisar algumas providências?";SE(E(Margem mês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 xml:space="preserve">&lt;0;Margem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&lt;0;Margem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&lt;Margem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);"A perspectiva para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é de continuar no prejuízo. Vamos analisar algumas providências?";SE(E(Fat. estimado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=Faturamento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;Quant. clientes mês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=Quant. clientes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>;Margem estimada</t>
    </r>
    <r>
      <rPr>
        <b/>
        <sz val="11"/>
        <color rgb="FFC00000"/>
        <rFont val="Calibri"/>
        <family val="2"/>
        <scheme val="minor"/>
      </rPr>
      <t xml:space="preserve"> (A)</t>
    </r>
    <r>
      <rPr>
        <sz val="11"/>
        <color theme="1"/>
        <rFont val="Calibri"/>
        <family val="2"/>
        <scheme val="minor"/>
      </rPr>
      <t>=Margem mês</t>
    </r>
    <r>
      <rPr>
        <b/>
        <sz val="11"/>
        <color rgb="FFC00000"/>
        <rFont val="Calibri"/>
        <family val="2"/>
        <scheme val="minor"/>
      </rPr>
      <t xml:space="preserve"> (B)</t>
    </r>
    <r>
      <rPr>
        <sz val="11"/>
        <color theme="1"/>
        <rFont val="Calibri"/>
        <family val="2"/>
        <scheme val="minor"/>
      </rPr>
      <t xml:space="preserve">);"Em princípio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tende a ser uma repetição de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. Vamos ver se dá para melhorar?";SE(E(Margem mês </t>
    </r>
    <r>
      <rPr>
        <b/>
        <sz val="11"/>
        <color rgb="FFC0000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&gt;=0;Margem estimada </t>
    </r>
    <r>
      <rPr>
        <b/>
        <sz val="11"/>
        <color rgb="FFC00000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>&lt;0);"Sem dúvida será possível reverter esta perpectiva. Vamos analisar algumas providências?")))))))</t>
    </r>
  </si>
  <si>
    <t xml:space="preserve">ESTIMATIVAS </t>
  </si>
  <si>
    <t>Ninguém consegue prever o futuro com certeza. Mas é preciso evitar "surpresas"!</t>
  </si>
  <si>
    <t xml:space="preserve"> Vou mostrar uma maneira  de fazer previsões mais confiáveis: </t>
  </si>
  <si>
    <t>1. Reuna 3 ou 5 pessoas experientes.</t>
  </si>
  <si>
    <t>2. Explique o que você quer prever e para qual mês.</t>
  </si>
  <si>
    <t>4. Peça que cada pessoa escreva, sem mostrar aos outros, a sua previsão.</t>
  </si>
  <si>
    <t>5. Recolha os papéis e identifique a menor e a maior estimativa.</t>
  </si>
  <si>
    <t>6. Peça para queles que as escreveram que comentem os motivos.</t>
  </si>
  <si>
    <t>7. Faça uma nova rodada de votação.</t>
  </si>
  <si>
    <t>8. Repita quantas vezes for necessário, até que os números fiquem próximos.</t>
  </si>
  <si>
    <t>9. Use a média ou o número mais aceito pelo grupo.</t>
  </si>
  <si>
    <t>Uma boa previsão nasce da experiência, da comparação de opiniões e da análise dos fatos.</t>
  </si>
  <si>
    <t>3. Comente como foi o último mês. Peça que considerem: o que sabem sobre o comportamento da demanda no mês em análise; conquista ou perda de clientes importantes; eventos e datas comemorativas; se está prevista alguma propaganda ou promoção; comportamento da concorrência; eventual alteração na sua capacidade de atendimento; alteração nos preços; fatores externos (economia, clima, obras, etc.).</t>
  </si>
  <si>
    <t>DESCRIÇÃO 3</t>
  </si>
  <si>
    <t>SE(E(M21&gt;D17*105%;M21&gt;D11*105%);"OK. Você está prevendo um acréscimo de (C%), e vendas acima de sua capacidade de atendimento.";SE(E(M21&gt;=D17*95%;M21&lt;D17*105%;M21&gt;D11*105%);"OK. Você está prevendo continuar com vendas acima de sua capacidade de atendimento.";SE(E(M21&lt;D17*95%;M21&gt;D11*105%);"OK. Você está prevendo redução nas vendas, mas ainda assim, acima de sua capacidade de atendimento.";SE(E(M21&lt;D17*95%;M21&lt;D11*95%);"OK. Você está prevendo redução nas vendas, devendo ficar abaixo de sua capacidade de atendimento.";SE(E(M21&lt;D17*95%;M21&gt;=D11*95%;M21&lt;D11*105%);"OK. Com esta previsão de vendas menores você ficará no limite de sua capacidade de atendimento.";SE(E(M21&gt;=D17*95%;M21&lt;D17*105%;M21&lt;D11*95%);"OK. Você está prevendo continuar com vendas abaixo de sua capacidade de atendimento.";""))))))</t>
  </si>
  <si>
    <t>SE(E(Previsão quant. clientes&gt;Clientes atendidos (B)*105%;Previsão quant. clientes&gt;Capacidade atendimento*105%);"OK. Você está prevendo um acréscimo de (C%), e vendas acima de sua capacidade de atendimento."; SE(E(Previsão quant. clientes&gt;=Clientes atendidos (B)*95%;Previsão quant. clientes&lt;Clientes atendidos (B)*105%;Previsão quant. clientes&gt;Capacidade atendimento*105%);"OK. Você está prevendo continuar com vendas acima de sua capacidade de atendimento.";SE(E(Previsão quant. clientes&lt;Clientes atendidos (B)*95%;M21Previsão quant. clientes&gt;Capacidade atendimento*105%);"OK. Você está prevendo redução nas vendas, mas ainda assim, acima de sua capacidade de atendimento.";SE(E(Previsão quant. clientes&lt;Clientes atendidos (B)*95%;Previsão quant. clientes&lt;D11Capacidade atendimento*95%);"OK. Você está prevendo redução nas vendas, devendo ficar abaixo de sua capacidade de atendimento.";SE(E(Previsão quant. clientes&lt;Clientes atendidos (B)*95%;Previsão quant. clientes&gt;=Capacidade atendimento*95%;Previsão quant. clientes&lt;Capacidade atendimento*105%);"OK. Com esta previsão de vendas menores você ficará no limite de sua capacidade de atendimento.";SE(E(Previsão quant. clientes&gt;=Clientes atendidos (B)*95%;Previsão quant. clientes&lt;Clientes atendidos (B)*105%;Previsão quant. clientes&lt;Capacidade atendimento*95%);"OK. Você está prevendo continuar com vendas abaixo de sua capacidade de atendimento.";""))))))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</si>
</sst>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mmmm\-yy;@"/>
    <numFmt numFmtId="165" formatCode="0.0%"/>
    <numFmt numFmtId="166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u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10" fontId="0" fillId="0" borderId="1" xfId="1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66" fontId="0" fillId="0" borderId="0" xfId="0" applyNumberFormat="1"/>
    <xf numFmtId="165" fontId="0" fillId="0" borderId="1" xfId="1" applyNumberFormat="1" applyFont="1" applyBorder="1" applyAlignment="1">
      <alignment horizontal="center"/>
    </xf>
    <xf numFmtId="10" fontId="2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166" fontId="0" fillId="0" borderId="1" xfId="0" applyNumberFormat="1" applyBorder="1"/>
    <xf numFmtId="0" fontId="11" fillId="0" borderId="0" xfId="0" applyFont="1"/>
    <xf numFmtId="10" fontId="5" fillId="0" borderId="5" xfId="1" applyNumberFormat="1" applyFont="1" applyFill="1" applyBorder="1" applyAlignment="1">
      <alignment wrapText="1"/>
    </xf>
    <xf numFmtId="10" fontId="5" fillId="0" borderId="0" xfId="1" applyNumberFormat="1" applyFont="1" applyFill="1" applyAlignment="1">
      <alignment wrapText="1"/>
    </xf>
    <xf numFmtId="0" fontId="5" fillId="0" borderId="0" xfId="0" applyFont="1" applyAlignment="1">
      <alignment horizontal="center"/>
    </xf>
    <xf numFmtId="166" fontId="0" fillId="0" borderId="0" xfId="1" applyNumberFormat="1" applyFont="1"/>
    <xf numFmtId="0" fontId="0" fillId="0" borderId="0" xfId="0" applyAlignment="1">
      <alignment horizontal="left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0" fillId="0" borderId="0" xfId="0" applyAlignment="1">
      <alignment vertical="top"/>
    </xf>
    <xf numFmtId="0" fontId="15" fillId="0" borderId="0" xfId="0" applyFont="1"/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/>
    <xf numFmtId="0" fontId="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 applyAlignment="1">
      <alignment horizontal="left" vertical="center" wrapText="1"/>
    </xf>
    <xf numFmtId="0" fontId="4" fillId="0" borderId="0" xfId="0" applyFont="1" applyAlignment="1"/>
    <xf numFmtId="0" fontId="17" fillId="0" borderId="0" xfId="0" applyFont="1" applyAlignment="1">
      <alignment horizontal="righ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166" fontId="2" fillId="0" borderId="1" xfId="0" applyNumberFormat="1" applyFont="1" applyFill="1" applyBorder="1" applyAlignment="1">
      <alignment horizontal="center"/>
    </xf>
    <xf numFmtId="10" fontId="2" fillId="0" borderId="0" xfId="1" applyNumberFormat="1" applyFont="1" applyFill="1"/>
    <xf numFmtId="0" fontId="0" fillId="0" borderId="0" xfId="0" applyFill="1"/>
    <xf numFmtId="0" fontId="6" fillId="0" borderId="0" xfId="0" applyFont="1" applyFill="1" applyAlignment="1">
      <alignment horizontal="left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548271</xdr:colOff>
      <xdr:row>0</xdr:row>
      <xdr:rowOff>0</xdr:rowOff>
    </xdr:from>
    <xdr:to>
      <xdr:col>8</xdr:col>
      <xdr:colOff>513503</xdr:colOff>
      <xdr:row>9</xdr:row>
      <xdr:rowOff>47625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A3F6ABC-60C7-1F3B-152A-9749A2581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3546" y="0"/>
          <a:ext cx="2032157" cy="20574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12</xdr:row>
      <xdr:rowOff>66675</xdr:rowOff>
    </xdr:from>
    <xdr:to>
      <xdr:col>14</xdr:col>
      <xdr:colOff>412652</xdr:colOff>
      <xdr:row>13</xdr:row>
      <xdr:rowOff>164081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87A5DDF-CF20-4587-BD03-520EAB7E0454}"/>
            </a:ext>
          </a:extLst>
        </xdr:cNvPr>
        <xdr:cNvSpPr/>
      </xdr:nvSpPr>
      <xdr:spPr>
        <a:xfrm>
          <a:off x="5486400" y="4410075"/>
          <a:ext cx="1631852" cy="287906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200" i="1">
              <a:solidFill>
                <a:schemeClr val="tx1">
                  <a:lumMod val="75000"/>
                  <a:lumOff val="25000"/>
                </a:schemeClr>
              </a:solidFill>
            </a:rPr>
            <a:t>Selecione</a:t>
          </a:r>
          <a:r>
            <a:rPr lang="pt-BR" b="1">
              <a:solidFill>
                <a:schemeClr val="tx1"/>
              </a:solidFill>
            </a:rPr>
            <a:t>             V</a:t>
          </a:r>
        </a:p>
      </xdr:txBody>
    </xdr:sp>
    <xdr:clientData/>
  </xdr:twoCellAnchor>
  <xdr:twoCellAnchor>
    <xdr:from>
      <xdr:col>13</xdr:col>
      <xdr:colOff>228600</xdr:colOff>
      <xdr:row>29</xdr:row>
      <xdr:rowOff>28575</xdr:rowOff>
    </xdr:from>
    <xdr:to>
      <xdr:col>13</xdr:col>
      <xdr:colOff>390525</xdr:colOff>
      <xdr:row>29</xdr:row>
      <xdr:rowOff>152400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5E0F17A0-783F-0096-37AD-27F9482C8B5B}"/>
            </a:ext>
          </a:extLst>
        </xdr:cNvPr>
        <xdr:cNvSpPr/>
      </xdr:nvSpPr>
      <xdr:spPr>
        <a:xfrm>
          <a:off x="8763000" y="4943475"/>
          <a:ext cx="161925" cy="123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+</a:t>
          </a:r>
        </a:p>
      </xdr:txBody>
    </xdr:sp>
    <xdr:clientData/>
  </xdr:twoCellAnchor>
  <xdr:twoCellAnchor>
    <xdr:from>
      <xdr:col>14</xdr:col>
      <xdr:colOff>200025</xdr:colOff>
      <xdr:row>29</xdr:row>
      <xdr:rowOff>19050</xdr:rowOff>
    </xdr:from>
    <xdr:to>
      <xdr:col>14</xdr:col>
      <xdr:colOff>361950</xdr:colOff>
      <xdr:row>29</xdr:row>
      <xdr:rowOff>142875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CE22FB77-4D29-4958-8A46-CA19B45F696C}"/>
            </a:ext>
          </a:extLst>
        </xdr:cNvPr>
        <xdr:cNvSpPr/>
      </xdr:nvSpPr>
      <xdr:spPr>
        <a:xfrm>
          <a:off x="9344025" y="4933950"/>
          <a:ext cx="161925" cy="123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-</a:t>
          </a:r>
        </a:p>
      </xdr:txBody>
    </xdr:sp>
    <xdr:clientData/>
  </xdr:twoCellAnchor>
  <xdr:twoCellAnchor>
    <xdr:from>
      <xdr:col>12</xdr:col>
      <xdr:colOff>161924</xdr:colOff>
      <xdr:row>43</xdr:row>
      <xdr:rowOff>142875</xdr:rowOff>
    </xdr:from>
    <xdr:to>
      <xdr:col>14</xdr:col>
      <xdr:colOff>132031</xdr:colOff>
      <xdr:row>45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A59C16C-B0B1-5AB6-B00F-A0905E9A6D29}"/>
            </a:ext>
          </a:extLst>
        </xdr:cNvPr>
        <xdr:cNvSpPr/>
      </xdr:nvSpPr>
      <xdr:spPr>
        <a:xfrm>
          <a:off x="8772524" y="8524875"/>
          <a:ext cx="1189307" cy="31432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600"/>
            <a:t>Sim, vamos</a:t>
          </a:r>
        </a:p>
      </xdr:txBody>
    </xdr:sp>
    <xdr:clientData/>
  </xdr:twoCellAnchor>
  <xdr:twoCellAnchor>
    <xdr:from>
      <xdr:col>8</xdr:col>
      <xdr:colOff>323850</xdr:colOff>
      <xdr:row>29</xdr:row>
      <xdr:rowOff>114300</xdr:rowOff>
    </xdr:from>
    <xdr:to>
      <xdr:col>8</xdr:col>
      <xdr:colOff>600075</xdr:colOff>
      <xdr:row>36</xdr:row>
      <xdr:rowOff>19050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AF96A561-A972-9303-5874-A2A854470B5C}"/>
            </a:ext>
          </a:extLst>
        </xdr:cNvPr>
        <xdr:cNvSpPr/>
      </xdr:nvSpPr>
      <xdr:spPr>
        <a:xfrm>
          <a:off x="6496050" y="5829300"/>
          <a:ext cx="276225" cy="1238250"/>
        </a:xfrm>
        <a:prstGeom prst="leftBrac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161925</xdr:colOff>
      <xdr:row>31</xdr:row>
      <xdr:rowOff>0</xdr:rowOff>
    </xdr:from>
    <xdr:to>
      <xdr:col>8</xdr:col>
      <xdr:colOff>133350</xdr:colOff>
      <xdr:row>33</xdr:row>
      <xdr:rowOff>66675</xdr:rowOff>
    </xdr:to>
    <xdr:sp macro="" textlink="">
      <xdr:nvSpPr>
        <xdr:cNvPr id="5" name="Balão de Fala: Retângulo 4">
          <a:extLst>
            <a:ext uri="{FF2B5EF4-FFF2-40B4-BE49-F238E27FC236}">
              <a16:creationId xmlns:a16="http://schemas.microsoft.com/office/drawing/2014/main" id="{6C14F30C-7C1C-3109-E1DF-CB28D88C0269}"/>
            </a:ext>
          </a:extLst>
        </xdr:cNvPr>
        <xdr:cNvSpPr/>
      </xdr:nvSpPr>
      <xdr:spPr>
        <a:xfrm>
          <a:off x="5114925" y="6096000"/>
          <a:ext cx="1190625" cy="447675"/>
        </a:xfrm>
        <a:prstGeom prst="wedgeRectCallout">
          <a:avLst>
            <a:gd name="adj1" fmla="val 63967"/>
            <a:gd name="adj2" fmla="val 2845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Só exibe se a resposta for SIM</a:t>
          </a:r>
        </a:p>
      </xdr:txBody>
    </xdr:sp>
    <xdr:clientData/>
  </xdr:twoCellAnchor>
  <xdr:twoCellAnchor editAs="oneCell">
    <xdr:from>
      <xdr:col>17</xdr:col>
      <xdr:colOff>485243</xdr:colOff>
      <xdr:row>16</xdr:row>
      <xdr:rowOff>123825</xdr:rowOff>
    </xdr:from>
    <xdr:to>
      <xdr:col>18</xdr:col>
      <xdr:colOff>449679</xdr:colOff>
      <xdr:row>20</xdr:row>
      <xdr:rowOff>85725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EBF865F-4EAE-70DE-449D-27FEDA75F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5293" y="3486150"/>
          <a:ext cx="745486" cy="742950"/>
        </a:xfrm>
        <a:prstGeom prst="rect">
          <a:avLst/>
        </a:prstGeom>
      </xdr:spPr>
    </xdr:pic>
    <xdr:clientData/>
  </xdr:twoCellAnchor>
  <xdr:twoCellAnchor>
    <xdr:from>
      <xdr:col>19</xdr:col>
      <xdr:colOff>47625</xdr:colOff>
      <xdr:row>15</xdr:row>
      <xdr:rowOff>114300</xdr:rowOff>
    </xdr:from>
    <xdr:to>
      <xdr:col>20</xdr:col>
      <xdr:colOff>581025</xdr:colOff>
      <xdr:row>17</xdr:row>
      <xdr:rowOff>133350</xdr:rowOff>
    </xdr:to>
    <xdr:sp macro="" textlink="">
      <xdr:nvSpPr>
        <xdr:cNvPr id="3" name="Balão de Fala: Retângulo 2">
          <a:extLst>
            <a:ext uri="{FF2B5EF4-FFF2-40B4-BE49-F238E27FC236}">
              <a16:creationId xmlns:a16="http://schemas.microsoft.com/office/drawing/2014/main" id="{FE1A55CD-45EB-3E2D-1328-EC3BD597FA8B}"/>
            </a:ext>
          </a:extLst>
        </xdr:cNvPr>
        <xdr:cNvSpPr/>
      </xdr:nvSpPr>
      <xdr:spPr>
        <a:xfrm>
          <a:off x="13268325" y="3286125"/>
          <a:ext cx="1143000" cy="400050"/>
        </a:xfrm>
        <a:prstGeom prst="wedgeRectCallout">
          <a:avLst>
            <a:gd name="adj1" fmla="val -76666"/>
            <a:gd name="adj2" fmla="val 6011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Link</a:t>
          </a:r>
          <a:r>
            <a:rPr lang="pt-BR" sz="1100" baseline="0"/>
            <a:t> para a tela ANA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1</xdr:row>
      <xdr:rowOff>133350</xdr:rowOff>
    </xdr:from>
    <xdr:to>
      <xdr:col>3</xdr:col>
      <xdr:colOff>328433</xdr:colOff>
      <xdr:row>8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0C801F-5076-49B8-A0E1-3217145AE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9624" y="323850"/>
          <a:ext cx="1347609" cy="1343025"/>
        </a:xfrm>
        <a:prstGeom prst="rect">
          <a:avLst/>
        </a:prstGeom>
      </xdr:spPr>
    </xdr:pic>
    <xdr:clientData/>
  </xdr:twoCellAnchor>
  <xdr:twoCellAnchor>
    <xdr:from>
      <xdr:col>6</xdr:col>
      <xdr:colOff>514350</xdr:colOff>
      <xdr:row>23</xdr:row>
      <xdr:rowOff>9525</xdr:rowOff>
    </xdr:from>
    <xdr:to>
      <xdr:col>8</xdr:col>
      <xdr:colOff>379682</xdr:colOff>
      <xdr:row>24</xdr:row>
      <xdr:rowOff>188357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8861E24-F442-444C-94F3-47E9BBA52CDE}"/>
            </a:ext>
          </a:extLst>
        </xdr:cNvPr>
        <xdr:cNvSpPr/>
      </xdr:nvSpPr>
      <xdr:spPr>
        <a:xfrm>
          <a:off x="4171950" y="4476750"/>
          <a:ext cx="1084532" cy="369332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600"/>
            <a:t>Retornar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2458-01FD-42FC-8755-5BA3E1F0AD17}">
  <dimension ref="A5:AL87"/>
  <sheetViews>
    <sheetView showGridLines="0" tabSelected="1" topLeftCell="B1" workbookViewId="0">
      <selection activeCell="F16" sqref="F16"/>
    </sheetView>
  </sheetViews>
  <sheetFormatPr defaultRowHeight="15" x14ac:dyDescent="0.25"/>
  <cols>
    <col min="3" max="3" width="15.28515625" customWidth="1"/>
    <col min="4" max="4" width="18.85546875" style="4" bestFit="1" customWidth="1"/>
    <col min="5" max="5" width="9.140625" style="14"/>
    <col min="6" max="6" width="12.7109375" bestFit="1" customWidth="1"/>
    <col min="17" max="18" width="11.7109375" bestFit="1" customWidth="1"/>
  </cols>
  <sheetData>
    <row r="5" spans="1:18" ht="18.75" x14ac:dyDescent="0.3">
      <c r="O5" s="57" t="s">
        <v>2</v>
      </c>
      <c r="P5" s="57"/>
      <c r="Q5" s="56"/>
    </row>
    <row r="6" spans="1:18" ht="28.5" customHeight="1" x14ac:dyDescent="0.55000000000000004">
      <c r="J6" s="33" t="s">
        <v>0</v>
      </c>
      <c r="K6" s="33"/>
      <c r="L6" s="33"/>
      <c r="M6" s="33"/>
      <c r="N6" s="33"/>
      <c r="O6" s="33"/>
      <c r="P6" s="33"/>
      <c r="Q6" s="33"/>
      <c r="R6" s="33"/>
    </row>
    <row r="8" spans="1:18" ht="21" customHeight="1" x14ac:dyDescent="0.25">
      <c r="A8" s="37" t="s">
        <v>4</v>
      </c>
      <c r="B8" s="37"/>
      <c r="C8" s="37"/>
      <c r="D8" s="5" t="s">
        <v>7</v>
      </c>
      <c r="J8" s="40" t="s">
        <v>1</v>
      </c>
      <c r="K8" s="40"/>
      <c r="L8" s="40"/>
      <c r="M8" s="40"/>
      <c r="N8" s="40"/>
      <c r="O8" s="40"/>
      <c r="P8" s="40"/>
      <c r="Q8" s="40"/>
      <c r="R8" s="40"/>
    </row>
    <row r="9" spans="1:18" ht="15" customHeight="1" x14ac:dyDescent="0.25">
      <c r="J9" s="40"/>
      <c r="K9" s="40"/>
      <c r="L9" s="40"/>
      <c r="M9" s="40"/>
      <c r="N9" s="40"/>
      <c r="O9" s="40"/>
      <c r="P9" s="40"/>
      <c r="Q9" s="40"/>
      <c r="R9" s="40"/>
    </row>
    <row r="10" spans="1:18" x14ac:dyDescent="0.25">
      <c r="A10" s="39" t="s">
        <v>12</v>
      </c>
      <c r="B10" s="39"/>
      <c r="C10" s="39"/>
      <c r="D10" s="39"/>
      <c r="J10" s="40"/>
      <c r="K10" s="40"/>
      <c r="L10" s="40"/>
      <c r="M10" s="40"/>
      <c r="N10" s="40"/>
      <c r="O10" s="40"/>
      <c r="P10" s="40"/>
      <c r="Q10" s="40"/>
      <c r="R10" s="40"/>
    </row>
    <row r="11" spans="1:18" x14ac:dyDescent="0.25">
      <c r="A11" s="37" t="s">
        <v>18</v>
      </c>
      <c r="B11" s="37"/>
      <c r="C11" s="37"/>
      <c r="D11" s="8">
        <v>1200</v>
      </c>
    </row>
    <row r="12" spans="1:18" ht="15.75" x14ac:dyDescent="0.25">
      <c r="A12" s="37" t="s">
        <v>19</v>
      </c>
      <c r="B12" s="37"/>
      <c r="C12" s="37"/>
      <c r="D12" s="9">
        <v>0.08</v>
      </c>
      <c r="J12" s="41" t="s">
        <v>3</v>
      </c>
      <c r="K12" s="41"/>
      <c r="L12" s="41"/>
      <c r="M12" s="41"/>
      <c r="N12" s="41"/>
      <c r="O12" s="41"/>
      <c r="P12" s="41"/>
      <c r="Q12" s="41"/>
      <c r="R12" s="41"/>
    </row>
    <row r="13" spans="1:18" x14ac:dyDescent="0.25">
      <c r="A13" s="37" t="s">
        <v>20</v>
      </c>
      <c r="B13" s="37"/>
      <c r="C13" s="37"/>
      <c r="D13" s="9">
        <v>0.2</v>
      </c>
    </row>
    <row r="14" spans="1:18" x14ac:dyDescent="0.25">
      <c r="A14" s="30"/>
      <c r="B14" s="30"/>
      <c r="C14" s="30"/>
    </row>
    <row r="15" spans="1:18" ht="15.75" customHeight="1" x14ac:dyDescent="0.25">
      <c r="A15" s="45" t="s">
        <v>31</v>
      </c>
      <c r="B15" s="46"/>
      <c r="C15" s="46"/>
      <c r="D15" s="47"/>
      <c r="J15" s="38" t="s">
        <v>10</v>
      </c>
      <c r="K15" s="38"/>
      <c r="L15" s="38"/>
      <c r="M15" s="38"/>
      <c r="N15" s="38"/>
      <c r="O15" s="38"/>
      <c r="P15" s="38"/>
      <c r="Q15" s="38"/>
      <c r="R15" s="38"/>
    </row>
    <row r="16" spans="1:18" x14ac:dyDescent="0.25">
      <c r="A16" s="37" t="s">
        <v>5</v>
      </c>
      <c r="B16" s="37"/>
      <c r="C16" s="37"/>
      <c r="D16" s="5" t="s">
        <v>6</v>
      </c>
      <c r="J16" s="38"/>
      <c r="K16" s="38"/>
      <c r="L16" s="38"/>
      <c r="M16" s="38"/>
      <c r="N16" s="38"/>
      <c r="O16" s="38"/>
      <c r="P16" s="38"/>
      <c r="Q16" s="38"/>
      <c r="R16" s="38"/>
    </row>
    <row r="17" spans="1:38" x14ac:dyDescent="0.25">
      <c r="A17" s="37" t="s">
        <v>21</v>
      </c>
      <c r="B17" s="37"/>
      <c r="C17" s="37"/>
      <c r="D17" s="3">
        <v>900</v>
      </c>
      <c r="J17" s="38"/>
      <c r="K17" s="38"/>
      <c r="L17" s="38"/>
      <c r="M17" s="38"/>
      <c r="N17" s="38"/>
      <c r="O17" s="38"/>
      <c r="P17" s="38"/>
      <c r="Q17" s="38"/>
      <c r="R17" s="38"/>
    </row>
    <row r="18" spans="1:38" x14ac:dyDescent="0.25">
      <c r="A18" s="37" t="s">
        <v>22</v>
      </c>
      <c r="B18" s="37"/>
      <c r="C18" s="37"/>
      <c r="D18" s="10">
        <v>135000</v>
      </c>
      <c r="J18" s="38"/>
      <c r="K18" s="38"/>
      <c r="L18" s="38"/>
      <c r="M18" s="38"/>
      <c r="N18" s="38"/>
      <c r="O18" s="38"/>
      <c r="P18" s="38"/>
      <c r="Q18" s="38"/>
      <c r="R18" s="38"/>
    </row>
    <row r="19" spans="1:38" ht="15.75" customHeight="1" x14ac:dyDescent="0.25">
      <c r="A19" s="42" t="s">
        <v>23</v>
      </c>
      <c r="B19" s="43"/>
      <c r="C19" s="44"/>
      <c r="D19" s="10">
        <f>D18/D17</f>
        <v>150</v>
      </c>
      <c r="J19" s="34" t="s">
        <v>36</v>
      </c>
      <c r="K19" s="34"/>
      <c r="L19" s="34"/>
      <c r="M19" s="34"/>
      <c r="N19" s="34"/>
      <c r="O19" s="34"/>
      <c r="P19" s="34"/>
      <c r="Q19" s="34"/>
      <c r="R19" s="34"/>
    </row>
    <row r="20" spans="1:38" ht="15.75" customHeight="1" x14ac:dyDescent="0.25">
      <c r="A20" s="42" t="s">
        <v>15</v>
      </c>
      <c r="B20" s="43"/>
      <c r="C20" s="44"/>
      <c r="D20" s="10">
        <v>13800</v>
      </c>
      <c r="E20" s="14">
        <f>D20/$D$18</f>
        <v>0.10222222222222223</v>
      </c>
      <c r="J20" s="34"/>
      <c r="K20" s="34"/>
      <c r="L20" s="34"/>
      <c r="M20" s="34"/>
      <c r="N20" s="34"/>
      <c r="O20" s="34"/>
      <c r="P20" s="34"/>
      <c r="Q20" s="34"/>
      <c r="R20" s="34"/>
    </row>
    <row r="21" spans="1:38" ht="15.75" x14ac:dyDescent="0.25">
      <c r="A21" s="42" t="s">
        <v>24</v>
      </c>
      <c r="B21" s="43"/>
      <c r="C21" s="44"/>
      <c r="D21" s="10">
        <v>45000</v>
      </c>
      <c r="E21" s="14">
        <f t="shared" ref="E21:E26" si="0">D21/$D$18</f>
        <v>0.33333333333333331</v>
      </c>
      <c r="J21" s="18"/>
      <c r="K21" s="18"/>
      <c r="M21" s="48">
        <v>900</v>
      </c>
      <c r="N21" s="48"/>
      <c r="R21" s="16"/>
    </row>
    <row r="22" spans="1:38" s="63" customFormat="1" ht="15.75" customHeight="1" x14ac:dyDescent="0.25">
      <c r="A22" s="58"/>
      <c r="B22" s="59"/>
      <c r="C22" s="60"/>
      <c r="D22" s="61"/>
      <c r="E22" s="62"/>
      <c r="H22" s="29" t="s">
        <v>55</v>
      </c>
      <c r="I22" s="29"/>
      <c r="J22" s="64" t="s">
        <v>73</v>
      </c>
      <c r="K22" s="64"/>
      <c r="L22" s="64"/>
      <c r="M22" s="64"/>
      <c r="N22" s="64"/>
      <c r="O22" s="64"/>
      <c r="P22" s="64"/>
      <c r="Q22" s="64"/>
      <c r="R22" s="64"/>
    </row>
    <row r="23" spans="1:38" ht="15.75" customHeight="1" x14ac:dyDescent="0.25">
      <c r="A23" s="42" t="s">
        <v>25</v>
      </c>
      <c r="B23" s="43"/>
      <c r="C23" s="44"/>
      <c r="D23" s="10">
        <v>12000</v>
      </c>
      <c r="E23" s="14">
        <f t="shared" si="0"/>
        <v>8.8888888888888892E-2</v>
      </c>
      <c r="J23" s="64"/>
      <c r="K23" s="64"/>
      <c r="L23" s="64"/>
      <c r="M23" s="64"/>
      <c r="N23" s="64"/>
      <c r="O23" s="64"/>
      <c r="P23" s="64"/>
      <c r="Q23" s="64"/>
      <c r="R23" s="64"/>
    </row>
    <row r="24" spans="1:38" ht="15.75" customHeight="1" x14ac:dyDescent="0.25">
      <c r="A24" s="42" t="s">
        <v>26</v>
      </c>
      <c r="B24" s="43"/>
      <c r="C24" s="44"/>
      <c r="D24" s="10">
        <f>D21+D23</f>
        <v>57000</v>
      </c>
      <c r="E24" s="14">
        <f t="shared" si="0"/>
        <v>0.42222222222222222</v>
      </c>
      <c r="J24" s="34" t="s">
        <v>11</v>
      </c>
      <c r="K24" s="34"/>
      <c r="L24" s="34"/>
      <c r="M24" s="34"/>
      <c r="N24" s="34"/>
      <c r="O24" s="34"/>
      <c r="P24" s="34"/>
      <c r="Q24" s="34"/>
      <c r="R24" s="34"/>
    </row>
    <row r="25" spans="1:38" x14ac:dyDescent="0.25">
      <c r="A25" s="37" t="s">
        <v>27</v>
      </c>
      <c r="B25" s="37"/>
      <c r="C25" s="37"/>
      <c r="D25" s="10">
        <f>D18-(D20+D21+D23)</f>
        <v>64200</v>
      </c>
      <c r="J25" s="34"/>
      <c r="K25" s="34"/>
      <c r="L25" s="34"/>
      <c r="M25" s="34"/>
      <c r="N25" s="34"/>
      <c r="O25" s="34"/>
      <c r="P25" s="34"/>
      <c r="Q25" s="34"/>
      <c r="R25" s="34"/>
    </row>
    <row r="26" spans="1:38" x14ac:dyDescent="0.25">
      <c r="A26" s="37" t="s">
        <v>28</v>
      </c>
      <c r="B26" s="37"/>
      <c r="C26" s="37"/>
      <c r="D26" s="10">
        <v>45000</v>
      </c>
      <c r="E26" s="14">
        <f t="shared" si="0"/>
        <v>0.33333333333333331</v>
      </c>
    </row>
    <row r="27" spans="1:38" ht="15.75" x14ac:dyDescent="0.25">
      <c r="A27" s="37" t="s">
        <v>29</v>
      </c>
      <c r="B27" s="37"/>
      <c r="C27" s="37"/>
      <c r="D27" s="8">
        <f>D26/(D25/D17)</f>
        <v>630.84112149532712</v>
      </c>
      <c r="F27" s="12"/>
      <c r="L27" s="6" t="s">
        <v>8</v>
      </c>
      <c r="M27" s="15"/>
      <c r="N27" s="6" t="s">
        <v>9</v>
      </c>
      <c r="O27" s="15" t="s">
        <v>13</v>
      </c>
    </row>
    <row r="28" spans="1:38" x14ac:dyDescent="0.25">
      <c r="A28" s="37" t="s">
        <v>30</v>
      </c>
      <c r="B28" s="37"/>
      <c r="C28" s="37"/>
      <c r="D28" s="11">
        <f>(D18-(D20+D21+D23+D26))/D18</f>
        <v>0.14222222222222222</v>
      </c>
      <c r="F28" s="12"/>
      <c r="J28" s="25"/>
      <c r="K28" s="25"/>
      <c r="L28" s="25"/>
    </row>
    <row r="29" spans="1:38" ht="15.75" x14ac:dyDescent="0.25">
      <c r="A29" s="30"/>
      <c r="B29" s="30"/>
      <c r="C29" s="30"/>
      <c r="F29" s="22"/>
      <c r="J29" s="41" t="str">
        <f>IF(AND(M27="",O27=""),"",IF(AND(M27="",O27&gt;""),"",IF(AND(M27&gt;"",O27&gt;""),"Indique apenas uma alternativa de resposta!",IF(AND(M27&gt;"",O27=""),"Informe se para mais ou para menos, e, o percentual correspondente:"))))</f>
        <v/>
      </c>
      <c r="K29" s="41"/>
      <c r="L29" s="41"/>
      <c r="M29" s="41"/>
      <c r="N29" s="41"/>
      <c r="O29" s="41"/>
      <c r="P29" s="41"/>
      <c r="Q29" s="41"/>
      <c r="R29" s="41"/>
    </row>
    <row r="30" spans="1:38" x14ac:dyDescent="0.25">
      <c r="A30" s="45" t="s">
        <v>37</v>
      </c>
      <c r="B30" s="46"/>
      <c r="C30" s="46"/>
      <c r="D30" s="47"/>
      <c r="P30" s="1" t="s">
        <v>17</v>
      </c>
      <c r="Q30" s="1" t="s">
        <v>33</v>
      </c>
      <c r="R30" s="1" t="s">
        <v>34</v>
      </c>
    </row>
    <row r="31" spans="1:38" x14ac:dyDescent="0.25">
      <c r="A31" s="37" t="s">
        <v>4</v>
      </c>
      <c r="B31" s="37"/>
      <c r="C31" s="37"/>
      <c r="D31" s="5" t="str">
        <f>D8</f>
        <v>Julho</v>
      </c>
      <c r="J31" s="35" t="s">
        <v>14</v>
      </c>
      <c r="K31" s="35"/>
      <c r="L31" s="35"/>
      <c r="M31" s="36"/>
      <c r="N31" s="13" t="s">
        <v>13</v>
      </c>
      <c r="O31" s="2"/>
      <c r="P31" s="7">
        <v>0.1</v>
      </c>
      <c r="Q31" s="17">
        <f>D19</f>
        <v>150</v>
      </c>
      <c r="R31" s="17">
        <f>IF(P31="",D19,IF(AND(N31="",O31="",P31&gt;0),D19,IF(AND(N31&gt;"",O31="",P31&gt;0),D19*(100%+P31),IF(AND(N31="",O31&gt;"",P31&gt;0),D19*(100%-P31)))))</f>
        <v>165</v>
      </c>
      <c r="S31" s="32" t="s">
        <v>38</v>
      </c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spans="1:38" x14ac:dyDescent="0.25">
      <c r="A32" s="37" t="s">
        <v>21</v>
      </c>
      <c r="B32" s="37"/>
      <c r="C32" s="37"/>
      <c r="D32" s="8">
        <f>M21</f>
        <v>900</v>
      </c>
      <c r="J32" s="35" t="s">
        <v>35</v>
      </c>
      <c r="K32" s="35"/>
      <c r="L32" s="35"/>
      <c r="M32" s="36"/>
      <c r="N32" s="13"/>
      <c r="O32" s="2"/>
      <c r="P32" s="7">
        <v>0.1</v>
      </c>
      <c r="Q32" s="17">
        <f>D19</f>
        <v>150</v>
      </c>
      <c r="R32" s="17">
        <f>IF(P32="",D34,IF(AND(N32="",O32="",P32&gt;0),D34,IF(AND(N32&gt;"",O32="",P32&gt;0),D34*(100%+P32),IF(AND(N32="",O32&gt;"",P32&gt;0),D34*(100%-P32)))))</f>
        <v>165</v>
      </c>
      <c r="S32" s="32" t="s">
        <v>43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spans="1:38" x14ac:dyDescent="0.25">
      <c r="A33" s="37" t="s">
        <v>22</v>
      </c>
      <c r="B33" s="37"/>
      <c r="C33" s="37"/>
      <c r="D33" s="10">
        <f>D35*D32</f>
        <v>148500</v>
      </c>
      <c r="J33" s="35" t="s">
        <v>15</v>
      </c>
      <c r="K33" s="35"/>
      <c r="L33" s="35"/>
      <c r="M33" s="36"/>
      <c r="N33" s="13"/>
      <c r="O33" s="2"/>
      <c r="P33" s="7"/>
      <c r="Q33" s="17">
        <f>D20</f>
        <v>13800</v>
      </c>
      <c r="R33" s="17">
        <f>IF(P33="",D33*E20,IF(AND(N33="",O33="",P33&gt;0),D33*E20,IF(AND(N33&gt;"",O33="",P33&gt;0),D33*E20*(100%+P33),IF(AND(N33="",O33&gt;"",P33&gt;0),D33*D33*E20*(100%-P33)))))</f>
        <v>15180</v>
      </c>
      <c r="S33" s="32" t="s">
        <v>39</v>
      </c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spans="1:38" x14ac:dyDescent="0.25">
      <c r="A34" s="37" t="s">
        <v>32</v>
      </c>
      <c r="B34" s="37"/>
      <c r="C34" s="37"/>
      <c r="D34" s="10">
        <f>R31</f>
        <v>165</v>
      </c>
      <c r="E34" s="19"/>
      <c r="F34" s="12"/>
      <c r="J34" s="35" t="s">
        <v>54</v>
      </c>
      <c r="K34" s="35"/>
      <c r="L34" s="35"/>
      <c r="M34" s="36"/>
      <c r="N34" s="13"/>
      <c r="O34" s="2"/>
      <c r="P34" s="7">
        <v>0.1</v>
      </c>
      <c r="Q34" s="17">
        <f>D21</f>
        <v>45000</v>
      </c>
      <c r="R34" s="17">
        <f>IF(P34="",Q31*M21*E21,IF(AND(N34="",O34="",P34&gt;0),Q31*M21*E21,IF(AND(N34&gt;"",O34="",P34&gt;0),Q31*M21*E21*(100%+P34),IF(AND(N34="",O34&gt;"",P34&gt;0),Q31*M21*E21*(100%-P34)))))</f>
        <v>45000</v>
      </c>
      <c r="S34" s="32" t="s">
        <v>40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x14ac:dyDescent="0.25">
      <c r="A35" s="42" t="s">
        <v>23</v>
      </c>
      <c r="B35" s="43"/>
      <c r="C35" s="44"/>
      <c r="D35" s="10">
        <f>R32</f>
        <v>165</v>
      </c>
      <c r="E35" s="19"/>
      <c r="J35" s="35" t="s">
        <v>53</v>
      </c>
      <c r="K35" s="35"/>
      <c r="L35" s="35"/>
      <c r="M35" s="36"/>
      <c r="N35" s="13"/>
      <c r="O35" s="2"/>
      <c r="P35" s="7">
        <v>0.1</v>
      </c>
      <c r="Q35" s="17">
        <f>D23</f>
        <v>12000</v>
      </c>
      <c r="R35" s="17">
        <f>IF(P35="",D23,IF(AND(N35="",O35="",P35&gt;0),D23,IF(AND(N35&gt;"",O35="",P35&gt;0),D23*(100%+P35),IF(AND(N35="",O35&gt;"",P35&gt;0),D23*(100%-P35)))))</f>
        <v>12000</v>
      </c>
      <c r="S35" s="32" t="s">
        <v>41</v>
      </c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</row>
    <row r="36" spans="1:38" x14ac:dyDescent="0.25">
      <c r="A36" s="37" t="s">
        <v>15</v>
      </c>
      <c r="B36" s="37"/>
      <c r="C36" s="37"/>
      <c r="D36" s="10">
        <f>R33</f>
        <v>15180</v>
      </c>
      <c r="E36" s="14">
        <f>D36/D33</f>
        <v>0.10222222222222223</v>
      </c>
      <c r="J36" s="35" t="s">
        <v>16</v>
      </c>
      <c r="K36" s="35"/>
      <c r="L36" s="35"/>
      <c r="M36" s="36"/>
      <c r="N36" s="13"/>
      <c r="O36" s="2"/>
      <c r="P36" s="7">
        <v>0.1</v>
      </c>
      <c r="Q36" s="17">
        <f>D26</f>
        <v>45000</v>
      </c>
      <c r="R36" s="17">
        <f>IF(P36="",D26,IF(AND(N36="",O36="",P36&gt;0),D26,IF(AND(N36&gt;"",O36="",P36&gt;0),D26*(100%+P36),IF(AND(N36="",O36&gt;"",P36&gt;0),D26*(100%-P36)))))</f>
        <v>45000</v>
      </c>
      <c r="S36" s="32" t="s">
        <v>42</v>
      </c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</row>
    <row r="37" spans="1:38" x14ac:dyDescent="0.25">
      <c r="A37" s="37" t="s">
        <v>49</v>
      </c>
      <c r="B37" s="37"/>
      <c r="C37" s="37"/>
      <c r="D37" s="10">
        <f>R34</f>
        <v>45000</v>
      </c>
      <c r="E37" s="14">
        <f>D37/D33</f>
        <v>0.30303030303030304</v>
      </c>
    </row>
    <row r="38" spans="1:38" ht="15" customHeight="1" x14ac:dyDescent="0.25">
      <c r="A38" s="37" t="s">
        <v>50</v>
      </c>
      <c r="B38" s="37"/>
      <c r="C38" s="37"/>
      <c r="D38" s="10">
        <f>R35</f>
        <v>12000</v>
      </c>
      <c r="E38" s="14">
        <f>D38/D33</f>
        <v>8.0808080808080815E-2</v>
      </c>
      <c r="F38" s="20"/>
      <c r="H38" s="29" t="s">
        <v>56</v>
      </c>
      <c r="I38" s="29"/>
      <c r="J38" s="34" t="str">
        <f>IF(O27&gt;"","Com esta previsão de vendas, mantidos os valores e incidência dos custos de (B), em princípio podemos estimar que (A) resultará em (Y%) de (Y1) de um faturamento de (R$Y).",IF(M27&gt;"","Com esta previsão de vendas e alteração dos valores de (B), em princípio podemos estimar que (A) resultará em (Y%) de (Y1) de um faturamento de (R$Y)."))</f>
        <v>Com esta previsão de vendas, mantidos os valores e incidência dos custos de (B), em princípio podemos estimar que (A) resultará em (Y%) de (Y1) de um faturamento de (R$Y).</v>
      </c>
      <c r="K38" s="34"/>
      <c r="L38" s="34"/>
      <c r="M38" s="34"/>
      <c r="N38" s="34"/>
      <c r="O38" s="34"/>
      <c r="P38" s="34"/>
      <c r="Q38" s="34"/>
      <c r="R38" s="34"/>
      <c r="S38" s="30" t="s">
        <v>44</v>
      </c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8" ht="15" customHeight="1" x14ac:dyDescent="0.25">
      <c r="A39" s="37" t="s">
        <v>51</v>
      </c>
      <c r="B39" s="37"/>
      <c r="C39" s="37"/>
      <c r="D39" s="10">
        <f>D37+D38</f>
        <v>57000</v>
      </c>
      <c r="E39" s="14">
        <f>D39/D33</f>
        <v>0.38383838383838381</v>
      </c>
      <c r="F39" s="20"/>
      <c r="J39" s="34"/>
      <c r="K39" s="34"/>
      <c r="L39" s="34"/>
      <c r="M39" s="34"/>
      <c r="N39" s="34"/>
      <c r="O39" s="34"/>
      <c r="P39" s="34"/>
      <c r="Q39" s="34"/>
      <c r="R39" s="34"/>
      <c r="S39" s="30" t="s">
        <v>45</v>
      </c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8" x14ac:dyDescent="0.25">
      <c r="A40" s="37" t="s">
        <v>27</v>
      </c>
      <c r="B40" s="37"/>
      <c r="C40" s="37"/>
      <c r="D40" s="10">
        <f>D33-(D36+D37+D38)</f>
        <v>76320</v>
      </c>
      <c r="F40" s="18"/>
      <c r="G40" s="18"/>
      <c r="H40" s="18"/>
      <c r="I40" s="18"/>
      <c r="J40" s="34"/>
      <c r="K40" s="34"/>
      <c r="L40" s="34"/>
      <c r="M40" s="34"/>
      <c r="N40" s="34"/>
      <c r="O40" s="34"/>
      <c r="P40" s="34"/>
      <c r="Q40" s="34"/>
      <c r="R40" s="34"/>
      <c r="S40" s="30" t="s">
        <v>46</v>
      </c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 spans="1:38" x14ac:dyDescent="0.25">
      <c r="A41" s="37" t="s">
        <v>28</v>
      </c>
      <c r="B41" s="37"/>
      <c r="C41" s="37"/>
      <c r="D41" s="10">
        <f>R36</f>
        <v>45000</v>
      </c>
      <c r="E41" s="14">
        <f>D41/D33</f>
        <v>0.30303030303030304</v>
      </c>
      <c r="F41" s="21"/>
    </row>
    <row r="42" spans="1:38" ht="15" customHeight="1" x14ac:dyDescent="0.25">
      <c r="A42" s="37" t="s">
        <v>29</v>
      </c>
      <c r="B42" s="37"/>
      <c r="C42" s="37"/>
      <c r="D42" s="8">
        <f>D41/(D40/D32)</f>
        <v>530.66037735849056</v>
      </c>
      <c r="H42" s="29" t="s">
        <v>72</v>
      </c>
      <c r="I42" s="29"/>
      <c r="J42" s="49" t="str">
        <f>IF(AND(D28&gt;=0,D43&gt;=0,D43&lt;D28,D28&lt;D13),"Esta previsão de um lucro menor em relação ao de (B) torna ainda mais distante a meta que você considera ideal. Vamos anlisar algumas providências?",IF(AND(D28&gt;=0,D43&gt;=0,D43&gt;D28,D43&lt;D13),"Esta previsão de um lucro maior não é suficiente para alcançar a meta que você considera ideal. Vamos anlisar algumas providências?",IF(AND(D28&gt;=0,D43&gt;=0,D43&gt;D28,D43&gt;=D13),"Esta previsão de lucro atende a meta que você considera ideal. Vamos ver se dá para melhorar?",IF(AND(D28&lt;0,D43&lt;0,D43&gt;D28),"A perspectiva para (A) é de piora em relação a (B). Vamos anlisar algumas providências?",IF(AND(D28&lt;0,D43&lt;0,D43&lt;D28),"A perspectiva para (A) é de continuar no prejuízo. Vamos analisar algumas providências?",IF(AND(D33=D18,D32=D17,D43=D28),"Em princípio (A) tende a ser uma repetição de (B). Vamos ver se dá para melhorar?",IF(AND(D28&gt;=0,D43&lt;0),"Sem dúvida será possível reverter esta perpectiva. Vamos anlisar algumas providências?")))))))</f>
        <v>Esta previsão de lucro atende a meta que você considera ideal. Vamos ver se dá para melhorar?</v>
      </c>
      <c r="K42" s="49"/>
      <c r="L42" s="49"/>
      <c r="M42" s="49"/>
      <c r="N42" s="49"/>
      <c r="O42" s="49"/>
      <c r="P42" s="49"/>
      <c r="Q42" s="49"/>
      <c r="R42" s="49"/>
    </row>
    <row r="43" spans="1:38" ht="15" customHeight="1" x14ac:dyDescent="0.25">
      <c r="A43" s="37" t="s">
        <v>30</v>
      </c>
      <c r="B43" s="37"/>
      <c r="C43" s="37"/>
      <c r="D43" s="11">
        <f>(D33-(D36+D37+D38+D41))/D33</f>
        <v>0.21090909090909091</v>
      </c>
      <c r="J43" s="49"/>
      <c r="K43" s="49"/>
      <c r="L43" s="49"/>
      <c r="M43" s="49"/>
      <c r="N43" s="49"/>
      <c r="O43" s="49"/>
      <c r="P43" s="49"/>
      <c r="Q43" s="49"/>
      <c r="R43" s="49"/>
    </row>
    <row r="44" spans="1:38" ht="15" customHeight="1" x14ac:dyDescent="0.25">
      <c r="J44" s="24"/>
      <c r="K44" s="24"/>
      <c r="L44" s="24"/>
      <c r="M44" s="24"/>
      <c r="N44" s="24"/>
      <c r="O44" s="24"/>
      <c r="P44" s="24"/>
      <c r="Q44" s="24"/>
      <c r="R44" s="24"/>
    </row>
    <row r="45" spans="1:38" x14ac:dyDescent="0.25">
      <c r="A45" s="31" t="s">
        <v>47</v>
      </c>
      <c r="B45" s="31"/>
      <c r="C45" s="31"/>
      <c r="D45" s="31"/>
      <c r="E45" s="31"/>
    </row>
    <row r="46" spans="1:38" x14ac:dyDescent="0.25">
      <c r="A46" s="31"/>
      <c r="B46" s="31"/>
      <c r="C46" s="31"/>
      <c r="D46" s="31"/>
      <c r="E46" s="31"/>
    </row>
    <row r="47" spans="1:38" ht="15" customHeight="1" x14ac:dyDescent="0.25">
      <c r="A47" s="30" t="s">
        <v>48</v>
      </c>
      <c r="B47" s="30"/>
      <c r="C47" s="30"/>
      <c r="D47" s="30"/>
      <c r="E47" s="30"/>
      <c r="H47" s="29" t="s">
        <v>55</v>
      </c>
      <c r="I47" s="29"/>
      <c r="J47" s="28" t="s">
        <v>74</v>
      </c>
      <c r="K47" s="28"/>
      <c r="L47" s="28"/>
      <c r="M47" s="28"/>
      <c r="N47" s="28"/>
      <c r="O47" s="28"/>
      <c r="P47" s="28"/>
      <c r="Q47" s="28"/>
      <c r="R47" s="28"/>
    </row>
    <row r="48" spans="1:38" x14ac:dyDescent="0.25">
      <c r="A48" s="31" t="s">
        <v>52</v>
      </c>
      <c r="B48" s="31"/>
      <c r="C48" s="31"/>
      <c r="D48" s="31"/>
      <c r="E48" s="31"/>
      <c r="J48" s="28"/>
      <c r="K48" s="28"/>
      <c r="L48" s="28"/>
      <c r="M48" s="28"/>
      <c r="N48" s="28"/>
      <c r="O48" s="28"/>
      <c r="P48" s="28"/>
      <c r="Q48" s="28"/>
      <c r="R48" s="28"/>
    </row>
    <row r="49" spans="1:18" x14ac:dyDescent="0.25">
      <c r="A49" s="31"/>
      <c r="B49" s="31"/>
      <c r="C49" s="31"/>
      <c r="D49" s="31"/>
      <c r="E49" s="31"/>
      <c r="J49" s="28"/>
      <c r="K49" s="28"/>
      <c r="L49" s="28"/>
      <c r="M49" s="28"/>
      <c r="N49" s="28"/>
      <c r="O49" s="28"/>
      <c r="P49" s="28"/>
      <c r="Q49" s="28"/>
      <c r="R49" s="28"/>
    </row>
    <row r="50" spans="1:18" x14ac:dyDescent="0.25">
      <c r="A50" s="23"/>
      <c r="B50" s="23"/>
      <c r="C50" s="23"/>
      <c r="D50" s="23"/>
      <c r="E50" s="23"/>
      <c r="J50" s="28"/>
      <c r="K50" s="28"/>
      <c r="L50" s="28"/>
      <c r="M50" s="28"/>
      <c r="N50" s="28"/>
      <c r="O50" s="28"/>
      <c r="P50" s="28"/>
      <c r="Q50" s="28"/>
      <c r="R50" s="28"/>
    </row>
    <row r="51" spans="1:18" x14ac:dyDescent="0.25">
      <c r="A51" s="23"/>
      <c r="B51" s="23"/>
      <c r="C51" s="23"/>
      <c r="D51" s="23"/>
      <c r="E51" s="23"/>
      <c r="J51" s="28"/>
      <c r="K51" s="28"/>
      <c r="L51" s="28"/>
      <c r="M51" s="28"/>
      <c r="N51" s="28"/>
      <c r="O51" s="28"/>
      <c r="P51" s="28"/>
      <c r="Q51" s="28"/>
      <c r="R51" s="28"/>
    </row>
    <row r="52" spans="1:18" x14ac:dyDescent="0.25">
      <c r="A52" s="23"/>
      <c r="B52" s="23"/>
      <c r="C52" s="23"/>
      <c r="D52" s="23"/>
      <c r="E52" s="23"/>
      <c r="J52" s="28"/>
      <c r="K52" s="28"/>
      <c r="L52" s="28"/>
      <c r="M52" s="28"/>
      <c r="N52" s="28"/>
      <c r="O52" s="28"/>
      <c r="P52" s="28"/>
      <c r="Q52" s="28"/>
      <c r="R52" s="28"/>
    </row>
    <row r="53" spans="1:18" x14ac:dyDescent="0.25">
      <c r="A53" s="23"/>
      <c r="B53" s="23"/>
      <c r="C53" s="23"/>
      <c r="D53" s="23"/>
      <c r="E53" s="23"/>
      <c r="J53" s="28"/>
      <c r="K53" s="28"/>
      <c r="L53" s="28"/>
      <c r="M53" s="28"/>
      <c r="N53" s="28"/>
      <c r="O53" s="28"/>
      <c r="P53" s="28"/>
      <c r="Q53" s="28"/>
      <c r="R53" s="28"/>
    </row>
    <row r="54" spans="1:18" x14ac:dyDescent="0.25">
      <c r="A54" s="23"/>
      <c r="B54" s="23"/>
      <c r="C54" s="23"/>
      <c r="D54" s="23"/>
      <c r="E54" s="23"/>
      <c r="J54" s="28"/>
      <c r="K54" s="28"/>
      <c r="L54" s="28"/>
      <c r="M54" s="28"/>
      <c r="N54" s="28"/>
      <c r="O54" s="28"/>
      <c r="P54" s="28"/>
      <c r="Q54" s="28"/>
      <c r="R54" s="28"/>
    </row>
    <row r="55" spans="1:18" x14ac:dyDescent="0.25">
      <c r="A55" s="23"/>
      <c r="B55" s="23"/>
      <c r="C55" s="23"/>
      <c r="D55" s="23"/>
      <c r="E55" s="23"/>
      <c r="J55" s="28"/>
      <c r="K55" s="28"/>
      <c r="L55" s="28"/>
      <c r="M55" s="28"/>
      <c r="N55" s="28"/>
      <c r="O55" s="28"/>
      <c r="P55" s="28"/>
      <c r="Q55" s="28"/>
      <c r="R55" s="28"/>
    </row>
    <row r="56" spans="1:18" x14ac:dyDescent="0.25">
      <c r="A56" s="23"/>
      <c r="B56" s="23"/>
      <c r="C56" s="23"/>
      <c r="D56" s="23"/>
      <c r="E56" s="23"/>
      <c r="J56" s="28"/>
      <c r="K56" s="28"/>
      <c r="L56" s="28"/>
      <c r="M56" s="28"/>
      <c r="N56" s="28"/>
      <c r="O56" s="28"/>
      <c r="P56" s="28"/>
      <c r="Q56" s="28"/>
      <c r="R56" s="28"/>
    </row>
    <row r="57" spans="1:18" x14ac:dyDescent="0.25">
      <c r="A57" s="23"/>
      <c r="B57" s="23"/>
      <c r="C57" s="23"/>
      <c r="D57" s="23"/>
      <c r="E57" s="23"/>
      <c r="J57" s="28"/>
      <c r="K57" s="28"/>
      <c r="L57" s="28"/>
      <c r="M57" s="28"/>
      <c r="N57" s="28"/>
      <c r="O57" s="28"/>
      <c r="P57" s="28"/>
      <c r="Q57" s="28"/>
      <c r="R57" s="28"/>
    </row>
    <row r="58" spans="1:18" x14ac:dyDescent="0.25">
      <c r="A58" s="23"/>
      <c r="B58" s="23"/>
      <c r="C58" s="23"/>
      <c r="D58" s="23"/>
      <c r="E58" s="23"/>
      <c r="J58" s="28"/>
      <c r="K58" s="28"/>
      <c r="L58" s="28"/>
      <c r="M58" s="28"/>
      <c r="N58" s="28"/>
      <c r="O58" s="28"/>
      <c r="P58" s="28"/>
      <c r="Q58" s="28"/>
      <c r="R58" s="28"/>
    </row>
    <row r="59" spans="1:18" x14ac:dyDescent="0.25">
      <c r="A59" s="23"/>
      <c r="B59" s="23"/>
      <c r="C59" s="23"/>
      <c r="D59" s="23"/>
      <c r="E59" s="23"/>
      <c r="J59" s="28"/>
      <c r="K59" s="28"/>
      <c r="L59" s="28"/>
      <c r="M59" s="28"/>
      <c r="N59" s="28"/>
      <c r="O59" s="28"/>
      <c r="P59" s="28"/>
      <c r="Q59" s="28"/>
      <c r="R59" s="28"/>
    </row>
    <row r="60" spans="1:18" x14ac:dyDescent="0.25">
      <c r="A60" s="23"/>
      <c r="B60" s="23"/>
      <c r="C60" s="23"/>
      <c r="D60" s="23"/>
      <c r="E60" s="23"/>
      <c r="J60" s="28"/>
      <c r="K60" s="28"/>
      <c r="L60" s="28"/>
      <c r="M60" s="28"/>
      <c r="N60" s="28"/>
      <c r="O60" s="28"/>
      <c r="P60" s="28"/>
      <c r="Q60" s="28"/>
      <c r="R60" s="28"/>
    </row>
    <row r="61" spans="1:18" x14ac:dyDescent="0.25">
      <c r="A61" s="23"/>
      <c r="B61" s="23"/>
      <c r="C61" s="23"/>
      <c r="D61" s="23"/>
      <c r="E61" s="23"/>
      <c r="J61" s="28"/>
      <c r="K61" s="28"/>
      <c r="L61" s="28"/>
      <c r="M61" s="28"/>
      <c r="N61" s="28"/>
      <c r="O61" s="28"/>
      <c r="P61" s="28"/>
      <c r="Q61" s="28"/>
      <c r="R61" s="28"/>
    </row>
    <row r="62" spans="1:18" x14ac:dyDescent="0.25">
      <c r="A62" s="23"/>
      <c r="B62" s="23"/>
      <c r="C62" s="23"/>
      <c r="D62" s="23"/>
      <c r="E62" s="23"/>
      <c r="J62" s="28"/>
      <c r="K62" s="28"/>
      <c r="L62" s="28"/>
      <c r="M62" s="28"/>
      <c r="N62" s="28"/>
      <c r="O62" s="28"/>
      <c r="P62" s="28"/>
      <c r="Q62" s="28"/>
      <c r="R62" s="28"/>
    </row>
    <row r="63" spans="1:18" x14ac:dyDescent="0.25">
      <c r="A63" s="23"/>
      <c r="B63" s="23"/>
      <c r="C63" s="23"/>
      <c r="D63" s="23"/>
      <c r="E63" s="23"/>
      <c r="J63" s="28"/>
      <c r="K63" s="28"/>
      <c r="L63" s="28"/>
      <c r="M63" s="28"/>
      <c r="N63" s="28"/>
      <c r="O63" s="28"/>
      <c r="P63" s="28"/>
      <c r="Q63" s="28"/>
      <c r="R63" s="28"/>
    </row>
    <row r="64" spans="1:18" x14ac:dyDescent="0.25">
      <c r="A64" s="23"/>
      <c r="B64" s="23"/>
      <c r="C64" s="23"/>
      <c r="D64" s="23"/>
      <c r="E64" s="23"/>
    </row>
    <row r="65" spans="8:18" ht="15" customHeight="1" x14ac:dyDescent="0.25">
      <c r="H65" s="29" t="s">
        <v>56</v>
      </c>
      <c r="I65" s="29"/>
      <c r="J65" s="28" t="s">
        <v>57</v>
      </c>
      <c r="K65" s="28"/>
      <c r="L65" s="28"/>
      <c r="M65" s="28"/>
      <c r="N65" s="28"/>
      <c r="O65" s="28"/>
      <c r="P65" s="28"/>
      <c r="Q65" s="28"/>
      <c r="R65" s="28"/>
    </row>
    <row r="66" spans="8:18" x14ac:dyDescent="0.25">
      <c r="J66" s="28"/>
      <c r="K66" s="28"/>
      <c r="L66" s="28"/>
      <c r="M66" s="28"/>
      <c r="N66" s="28"/>
      <c r="O66" s="28"/>
      <c r="P66" s="28"/>
      <c r="Q66" s="28"/>
      <c r="R66" s="28"/>
    </row>
    <row r="67" spans="8:18" x14ac:dyDescent="0.25">
      <c r="J67" s="28"/>
      <c r="K67" s="28"/>
      <c r="L67" s="28"/>
      <c r="M67" s="28"/>
      <c r="N67" s="28"/>
      <c r="O67" s="28"/>
      <c r="P67" s="28"/>
      <c r="Q67" s="28"/>
      <c r="R67" s="28"/>
    </row>
    <row r="68" spans="8:18" x14ac:dyDescent="0.25">
      <c r="J68" s="28"/>
      <c r="K68" s="28"/>
      <c r="L68" s="28"/>
      <c r="M68" s="28"/>
      <c r="N68" s="28"/>
      <c r="O68" s="28"/>
      <c r="P68" s="28"/>
      <c r="Q68" s="28"/>
      <c r="R68" s="28"/>
    </row>
    <row r="69" spans="8:18" x14ac:dyDescent="0.25">
      <c r="J69" s="28"/>
      <c r="K69" s="28"/>
      <c r="L69" s="28"/>
      <c r="M69" s="28"/>
      <c r="N69" s="28"/>
      <c r="O69" s="28"/>
      <c r="P69" s="28"/>
      <c r="Q69" s="28"/>
      <c r="R69" s="28"/>
    </row>
    <row r="70" spans="8:18" ht="15" customHeight="1" x14ac:dyDescent="0.25">
      <c r="H70" s="29" t="s">
        <v>72</v>
      </c>
      <c r="I70" s="29"/>
      <c r="J70" s="28" t="s">
        <v>58</v>
      </c>
      <c r="K70" s="28"/>
      <c r="L70" s="28"/>
      <c r="M70" s="28"/>
      <c r="N70" s="28"/>
      <c r="O70" s="28"/>
      <c r="P70" s="28"/>
      <c r="Q70" s="28"/>
      <c r="R70" s="28"/>
    </row>
    <row r="71" spans="8:18" x14ac:dyDescent="0.25">
      <c r="J71" s="28"/>
      <c r="K71" s="28"/>
      <c r="L71" s="28"/>
      <c r="M71" s="28"/>
      <c r="N71" s="28"/>
      <c r="O71" s="28"/>
      <c r="P71" s="28"/>
      <c r="Q71" s="28"/>
      <c r="R71" s="28"/>
    </row>
    <row r="72" spans="8:18" x14ac:dyDescent="0.25">
      <c r="J72" s="28"/>
      <c r="K72" s="28"/>
      <c r="L72" s="28"/>
      <c r="M72" s="28"/>
      <c r="N72" s="28"/>
      <c r="O72" s="28"/>
      <c r="P72" s="28"/>
      <c r="Q72" s="28"/>
      <c r="R72" s="28"/>
    </row>
    <row r="73" spans="8:18" x14ac:dyDescent="0.25">
      <c r="J73" s="28"/>
      <c r="K73" s="28"/>
      <c r="L73" s="28"/>
      <c r="M73" s="28"/>
      <c r="N73" s="28"/>
      <c r="O73" s="28"/>
      <c r="P73" s="28"/>
      <c r="Q73" s="28"/>
      <c r="R73" s="28"/>
    </row>
    <row r="74" spans="8:18" x14ac:dyDescent="0.25">
      <c r="J74" s="28"/>
      <c r="K74" s="28"/>
      <c r="L74" s="28"/>
      <c r="M74" s="28"/>
      <c r="N74" s="28"/>
      <c r="O74" s="28"/>
      <c r="P74" s="28"/>
      <c r="Q74" s="28"/>
      <c r="R74" s="28"/>
    </row>
    <row r="75" spans="8:18" x14ac:dyDescent="0.25">
      <c r="J75" s="28"/>
      <c r="K75" s="28"/>
      <c r="L75" s="28"/>
      <c r="M75" s="28"/>
      <c r="N75" s="28"/>
      <c r="O75" s="28"/>
      <c r="P75" s="28"/>
      <c r="Q75" s="28"/>
      <c r="R75" s="28"/>
    </row>
    <row r="76" spans="8:18" x14ac:dyDescent="0.25">
      <c r="J76" s="28"/>
      <c r="K76" s="28"/>
      <c r="L76" s="28"/>
      <c r="M76" s="28"/>
      <c r="N76" s="28"/>
      <c r="O76" s="28"/>
      <c r="P76" s="28"/>
      <c r="Q76" s="28"/>
      <c r="R76" s="28"/>
    </row>
    <row r="77" spans="8:18" x14ac:dyDescent="0.25">
      <c r="J77" s="28"/>
      <c r="K77" s="28"/>
      <c r="L77" s="28"/>
      <c r="M77" s="28"/>
      <c r="N77" s="28"/>
      <c r="O77" s="28"/>
      <c r="P77" s="28"/>
      <c r="Q77" s="28"/>
      <c r="R77" s="28"/>
    </row>
    <row r="78" spans="8:18" x14ac:dyDescent="0.25">
      <c r="J78" s="28"/>
      <c r="K78" s="28"/>
      <c r="L78" s="28"/>
      <c r="M78" s="28"/>
      <c r="N78" s="28"/>
      <c r="O78" s="28"/>
      <c r="P78" s="28"/>
      <c r="Q78" s="28"/>
      <c r="R78" s="28"/>
    </row>
    <row r="79" spans="8:18" x14ac:dyDescent="0.25">
      <c r="J79" s="28"/>
      <c r="K79" s="28"/>
      <c r="L79" s="28"/>
      <c r="M79" s="28"/>
      <c r="N79" s="28"/>
      <c r="O79" s="28"/>
      <c r="P79" s="28"/>
      <c r="Q79" s="28"/>
      <c r="R79" s="28"/>
    </row>
    <row r="80" spans="8:18" x14ac:dyDescent="0.25">
      <c r="J80" s="28"/>
      <c r="K80" s="28"/>
      <c r="L80" s="28"/>
      <c r="M80" s="28"/>
      <c r="N80" s="28"/>
      <c r="O80" s="28"/>
      <c r="P80" s="28"/>
      <c r="Q80" s="28"/>
      <c r="R80" s="28"/>
    </row>
    <row r="81" spans="10:18" x14ac:dyDescent="0.25">
      <c r="J81" s="28"/>
      <c r="K81" s="28"/>
      <c r="L81" s="28"/>
      <c r="M81" s="28"/>
      <c r="N81" s="28"/>
      <c r="O81" s="28"/>
      <c r="P81" s="28"/>
      <c r="Q81" s="28"/>
      <c r="R81" s="28"/>
    </row>
    <row r="82" spans="10:18" x14ac:dyDescent="0.25">
      <c r="J82" s="28"/>
      <c r="K82" s="28"/>
      <c r="L82" s="28"/>
      <c r="M82" s="28"/>
      <c r="N82" s="28"/>
      <c r="O82" s="28"/>
      <c r="P82" s="28"/>
      <c r="Q82" s="28"/>
      <c r="R82" s="28"/>
    </row>
    <row r="83" spans="10:18" x14ac:dyDescent="0.25">
      <c r="J83" s="28"/>
      <c r="K83" s="28"/>
      <c r="L83" s="28"/>
      <c r="M83" s="28"/>
      <c r="N83" s="28"/>
      <c r="O83" s="28"/>
      <c r="P83" s="28"/>
      <c r="Q83" s="28"/>
      <c r="R83" s="28"/>
    </row>
    <row r="84" spans="10:18" x14ac:dyDescent="0.25">
      <c r="J84" s="28"/>
      <c r="K84" s="28"/>
      <c r="L84" s="28"/>
      <c r="M84" s="28"/>
      <c r="N84" s="28"/>
      <c r="O84" s="28"/>
      <c r="P84" s="28"/>
      <c r="Q84" s="28"/>
      <c r="R84" s="28"/>
    </row>
    <row r="85" spans="10:18" x14ac:dyDescent="0.25">
      <c r="J85" s="28"/>
      <c r="K85" s="28"/>
      <c r="L85" s="28"/>
      <c r="M85" s="28"/>
      <c r="N85" s="28"/>
      <c r="O85" s="28"/>
      <c r="P85" s="28"/>
      <c r="Q85" s="28"/>
      <c r="R85" s="28"/>
    </row>
    <row r="86" spans="10:18" x14ac:dyDescent="0.25">
      <c r="J86" s="28"/>
      <c r="K86" s="28"/>
      <c r="L86" s="28"/>
      <c r="M86" s="28"/>
      <c r="N86" s="28"/>
      <c r="O86" s="28"/>
      <c r="P86" s="28"/>
      <c r="Q86" s="28"/>
      <c r="R86" s="28"/>
    </row>
    <row r="87" spans="10:18" x14ac:dyDescent="0.25">
      <c r="J87" s="28"/>
      <c r="K87" s="28"/>
      <c r="L87" s="28"/>
      <c r="M87" s="28"/>
      <c r="N87" s="28"/>
      <c r="O87" s="28"/>
      <c r="P87" s="28"/>
      <c r="Q87" s="28"/>
      <c r="R87" s="28"/>
    </row>
  </sheetData>
  <mergeCells count="73">
    <mergeCell ref="O5:P5"/>
    <mergeCell ref="J22:R23"/>
    <mergeCell ref="H22:I22"/>
    <mergeCell ref="H47:I47"/>
    <mergeCell ref="J47:R63"/>
    <mergeCell ref="A42:C42"/>
    <mergeCell ref="A43:C43"/>
    <mergeCell ref="A35:C35"/>
    <mergeCell ref="A40:C40"/>
    <mergeCell ref="A41:C41"/>
    <mergeCell ref="A30:D30"/>
    <mergeCell ref="A31:C31"/>
    <mergeCell ref="A32:C32"/>
    <mergeCell ref="A33:C33"/>
    <mergeCell ref="A24:C24"/>
    <mergeCell ref="A20:C20"/>
    <mergeCell ref="A21:C21"/>
    <mergeCell ref="A23:C23"/>
    <mergeCell ref="A29:C29"/>
    <mergeCell ref="J19:R20"/>
    <mergeCell ref="A19:C19"/>
    <mergeCell ref="A25:C25"/>
    <mergeCell ref="A26:C26"/>
    <mergeCell ref="A27:C27"/>
    <mergeCell ref="A28:C28"/>
    <mergeCell ref="J29:R29"/>
    <mergeCell ref="M21:N21"/>
    <mergeCell ref="A8:C8"/>
    <mergeCell ref="A15:D15"/>
    <mergeCell ref="A16:C16"/>
    <mergeCell ref="J15:R18"/>
    <mergeCell ref="A10:D10"/>
    <mergeCell ref="A11:C11"/>
    <mergeCell ref="J8:R10"/>
    <mergeCell ref="A12:C12"/>
    <mergeCell ref="A13:C13"/>
    <mergeCell ref="A14:C14"/>
    <mergeCell ref="A17:C17"/>
    <mergeCell ref="A18:C18"/>
    <mergeCell ref="J12:R12"/>
    <mergeCell ref="J6:R6"/>
    <mergeCell ref="J24:R25"/>
    <mergeCell ref="J32:M32"/>
    <mergeCell ref="J31:M31"/>
    <mergeCell ref="A45:E46"/>
    <mergeCell ref="S31:AL31"/>
    <mergeCell ref="S32:AL32"/>
    <mergeCell ref="S33:AL33"/>
    <mergeCell ref="S34:AL34"/>
    <mergeCell ref="S35:AL35"/>
    <mergeCell ref="A34:C34"/>
    <mergeCell ref="J33:M33"/>
    <mergeCell ref="J34:M34"/>
    <mergeCell ref="A36:C36"/>
    <mergeCell ref="A37:C37"/>
    <mergeCell ref="A38:C38"/>
    <mergeCell ref="A39:C39"/>
    <mergeCell ref="J35:M35"/>
    <mergeCell ref="J36:M36"/>
    <mergeCell ref="J42:R43"/>
    <mergeCell ref="H38:I38"/>
    <mergeCell ref="H42:I42"/>
    <mergeCell ref="H65:I65"/>
    <mergeCell ref="S36:AL36"/>
    <mergeCell ref="S38:AH38"/>
    <mergeCell ref="S39:AH39"/>
    <mergeCell ref="S40:AG40"/>
    <mergeCell ref="J38:R40"/>
    <mergeCell ref="J65:R69"/>
    <mergeCell ref="H70:I70"/>
    <mergeCell ref="J70:R87"/>
    <mergeCell ref="A47:E47"/>
    <mergeCell ref="A48:E4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A909-FC12-4123-916B-02AA40D9BBE2}">
  <dimension ref="D4:L29"/>
  <sheetViews>
    <sheetView showGridLines="0" workbookViewId="0">
      <selection activeCell="C14" sqref="C14"/>
    </sheetView>
  </sheetViews>
  <sheetFormatPr defaultRowHeight="15" x14ac:dyDescent="0.25"/>
  <cols>
    <col min="15" max="15" width="12" bestFit="1" customWidth="1"/>
  </cols>
  <sheetData>
    <row r="4" spans="4:12" ht="21" x14ac:dyDescent="0.35">
      <c r="D4" s="50" t="s">
        <v>59</v>
      </c>
      <c r="E4" s="50"/>
      <c r="F4" s="50"/>
      <c r="G4" s="50"/>
      <c r="H4" s="50"/>
      <c r="I4" s="50"/>
      <c r="J4" s="50"/>
      <c r="K4" s="50"/>
      <c r="L4" s="50"/>
    </row>
    <row r="5" spans="4:12" x14ac:dyDescent="0.25">
      <c r="D5" s="35" t="s">
        <v>60</v>
      </c>
      <c r="E5" s="35"/>
      <c r="F5" s="35"/>
      <c r="G5" s="35"/>
      <c r="H5" s="35"/>
      <c r="I5" s="35"/>
      <c r="J5" s="35"/>
      <c r="K5" s="35"/>
      <c r="L5" s="35"/>
    </row>
    <row r="6" spans="4:12" ht="15" customHeight="1" x14ac:dyDescent="0.25">
      <c r="D6" s="55" t="s">
        <v>70</v>
      </c>
      <c r="E6" s="55"/>
      <c r="F6" s="55"/>
      <c r="G6" s="55"/>
      <c r="H6" s="55"/>
      <c r="I6" s="55"/>
      <c r="J6" s="55"/>
      <c r="K6" s="55"/>
      <c r="L6" s="55"/>
    </row>
    <row r="7" spans="4:12" x14ac:dyDescent="0.25">
      <c r="D7" s="55"/>
      <c r="E7" s="55"/>
      <c r="F7" s="55"/>
      <c r="G7" s="55"/>
      <c r="H7" s="55"/>
      <c r="I7" s="55"/>
      <c r="J7" s="55"/>
      <c r="K7" s="55"/>
      <c r="L7" s="55"/>
    </row>
    <row r="8" spans="4:12" ht="15" customHeight="1" x14ac:dyDescent="0.25">
      <c r="D8" s="51" t="s">
        <v>61</v>
      </c>
      <c r="E8" s="51"/>
      <c r="F8" s="51"/>
      <c r="G8" s="51"/>
      <c r="H8" s="51"/>
      <c r="I8" s="51"/>
      <c r="J8" s="51"/>
      <c r="K8" s="51"/>
      <c r="L8" s="51"/>
    </row>
    <row r="9" spans="4:12" x14ac:dyDescent="0.25">
      <c r="E9" s="30" t="s">
        <v>62</v>
      </c>
      <c r="F9" s="30"/>
      <c r="G9" s="30"/>
      <c r="H9" s="30"/>
      <c r="I9" s="30"/>
      <c r="J9" s="30"/>
      <c r="K9" s="30"/>
      <c r="L9" s="30"/>
    </row>
    <row r="10" spans="4:12" x14ac:dyDescent="0.25">
      <c r="E10" s="30" t="s">
        <v>63</v>
      </c>
      <c r="F10" s="30"/>
      <c r="G10" s="30"/>
      <c r="H10" s="30"/>
      <c r="I10" s="30"/>
      <c r="J10" s="30"/>
      <c r="K10" s="30"/>
      <c r="L10" s="30"/>
    </row>
    <row r="11" spans="4:12" ht="15" customHeight="1" x14ac:dyDescent="0.25">
      <c r="E11" s="31" t="s">
        <v>71</v>
      </c>
      <c r="F11" s="31"/>
      <c r="G11" s="31"/>
      <c r="H11" s="31"/>
      <c r="I11" s="31"/>
      <c r="J11" s="31"/>
      <c r="K11" s="31"/>
      <c r="L11" s="31"/>
    </row>
    <row r="12" spans="4:12" x14ac:dyDescent="0.25">
      <c r="E12" s="31"/>
      <c r="F12" s="31"/>
      <c r="G12" s="31"/>
      <c r="H12" s="31"/>
      <c r="I12" s="31"/>
      <c r="J12" s="31"/>
      <c r="K12" s="31"/>
      <c r="L12" s="31"/>
    </row>
    <row r="13" spans="4:12" x14ac:dyDescent="0.25">
      <c r="E13" s="31"/>
      <c r="F13" s="31"/>
      <c r="G13" s="31"/>
      <c r="H13" s="31"/>
      <c r="I13" s="31"/>
      <c r="J13" s="31"/>
      <c r="K13" s="31"/>
      <c r="L13" s="31"/>
    </row>
    <row r="14" spans="4:12" x14ac:dyDescent="0.25">
      <c r="E14" s="31"/>
      <c r="F14" s="31"/>
      <c r="G14" s="31"/>
      <c r="H14" s="31"/>
      <c r="I14" s="31"/>
      <c r="J14" s="31"/>
      <c r="K14" s="31"/>
      <c r="L14" s="31"/>
    </row>
    <row r="15" spans="4:12" x14ac:dyDescent="0.25">
      <c r="E15" s="31"/>
      <c r="F15" s="31"/>
      <c r="G15" s="31"/>
      <c r="H15" s="31"/>
      <c r="I15" s="31"/>
      <c r="J15" s="31"/>
      <c r="K15" s="31"/>
      <c r="L15" s="31"/>
    </row>
    <row r="16" spans="4:12" x14ac:dyDescent="0.25">
      <c r="E16" s="31"/>
      <c r="F16" s="31"/>
      <c r="G16" s="31"/>
      <c r="H16" s="31"/>
      <c r="I16" s="31"/>
      <c r="J16" s="31"/>
      <c r="K16" s="31"/>
      <c r="L16" s="31"/>
    </row>
    <row r="17" spans="4:12" x14ac:dyDescent="0.25">
      <c r="E17" s="30" t="s">
        <v>64</v>
      </c>
      <c r="F17" s="30"/>
      <c r="G17" s="30"/>
      <c r="H17" s="30"/>
      <c r="I17" s="30"/>
      <c r="J17" s="30"/>
      <c r="K17" s="30"/>
      <c r="L17" s="30"/>
    </row>
    <row r="18" spans="4:12" x14ac:dyDescent="0.25">
      <c r="D18" s="27"/>
      <c r="E18" s="30" t="s">
        <v>65</v>
      </c>
      <c r="F18" s="30"/>
      <c r="G18" s="30"/>
      <c r="H18" s="30"/>
      <c r="I18" s="30"/>
      <c r="J18" s="30"/>
      <c r="K18" s="30"/>
      <c r="L18" s="30"/>
    </row>
    <row r="19" spans="4:12" ht="15.75" x14ac:dyDescent="0.25">
      <c r="D19" s="53"/>
      <c r="E19" s="30" t="s">
        <v>66</v>
      </c>
      <c r="F19" s="30"/>
      <c r="G19" s="30"/>
      <c r="H19" s="30"/>
      <c r="I19" s="30"/>
      <c r="J19" s="30"/>
      <c r="K19" s="30"/>
      <c r="L19" s="30"/>
    </row>
    <row r="20" spans="4:12" x14ac:dyDescent="0.25">
      <c r="D20" s="27"/>
      <c r="E20" s="30" t="s">
        <v>67</v>
      </c>
      <c r="F20" s="30"/>
      <c r="G20" s="30"/>
      <c r="H20" s="30"/>
      <c r="I20" s="30"/>
      <c r="J20" s="30"/>
      <c r="K20" s="30"/>
      <c r="L20" s="30"/>
    </row>
    <row r="21" spans="4:12" x14ac:dyDescent="0.25">
      <c r="D21" s="26"/>
      <c r="E21" s="30" t="s">
        <v>68</v>
      </c>
      <c r="F21" s="30"/>
      <c r="G21" s="30"/>
      <c r="H21" s="30"/>
      <c r="I21" s="30"/>
      <c r="J21" s="30"/>
      <c r="K21" s="30"/>
      <c r="L21" s="30"/>
    </row>
    <row r="22" spans="4:12" x14ac:dyDescent="0.25">
      <c r="D22" s="26"/>
      <c r="E22" s="30" t="s">
        <v>69</v>
      </c>
      <c r="F22" s="30"/>
      <c r="G22" s="30"/>
      <c r="H22" s="30"/>
      <c r="I22" s="30"/>
      <c r="J22" s="30"/>
      <c r="K22" s="30"/>
      <c r="L22" s="30"/>
    </row>
    <row r="23" spans="4:12" x14ac:dyDescent="0.25">
      <c r="D23" s="27"/>
      <c r="E23" s="52"/>
      <c r="F23" s="52"/>
      <c r="G23" s="52"/>
      <c r="H23" s="52"/>
      <c r="I23" s="52"/>
      <c r="J23" s="52"/>
      <c r="K23" s="52"/>
      <c r="L23" s="52"/>
    </row>
    <row r="24" spans="4:12" ht="15" customHeight="1" x14ac:dyDescent="0.25">
      <c r="D24" s="54"/>
      <c r="E24" s="52"/>
      <c r="F24" s="52"/>
      <c r="G24" s="52"/>
      <c r="H24" s="52"/>
      <c r="I24" s="52"/>
      <c r="J24" s="52"/>
      <c r="K24" s="52"/>
      <c r="L24" s="52"/>
    </row>
    <row r="25" spans="4:12" x14ac:dyDescent="0.25">
      <c r="D25" s="54"/>
      <c r="E25" s="52"/>
      <c r="F25" s="52"/>
      <c r="G25" s="52"/>
      <c r="H25" s="52"/>
      <c r="I25" s="52"/>
      <c r="J25" s="52"/>
      <c r="K25" s="52"/>
      <c r="L25" s="52"/>
    </row>
    <row r="26" spans="4:12" x14ac:dyDescent="0.25">
      <c r="D26" s="54"/>
      <c r="E26" s="54"/>
      <c r="F26" s="54"/>
      <c r="G26" s="54"/>
      <c r="H26" s="54"/>
      <c r="I26" s="54"/>
      <c r="J26" s="54"/>
      <c r="K26" s="54"/>
      <c r="L26" s="54"/>
    </row>
    <row r="27" spans="4:12" x14ac:dyDescent="0.25">
      <c r="D27" s="26"/>
      <c r="E27" s="26"/>
      <c r="F27" s="26"/>
      <c r="G27" s="26"/>
      <c r="H27" s="26"/>
      <c r="I27" s="26"/>
      <c r="J27" s="26"/>
      <c r="K27" s="26"/>
      <c r="L27" s="26"/>
    </row>
    <row r="28" spans="4:12" x14ac:dyDescent="0.25">
      <c r="D28" s="26"/>
      <c r="E28" s="26"/>
      <c r="F28" s="26"/>
      <c r="G28" s="26"/>
      <c r="H28" s="26"/>
      <c r="I28" s="26"/>
      <c r="J28" s="26"/>
      <c r="K28" s="26"/>
      <c r="L28" s="26"/>
    </row>
    <row r="29" spans="4:12" x14ac:dyDescent="0.25">
      <c r="D29" s="26"/>
      <c r="E29" s="26"/>
      <c r="F29" s="26"/>
      <c r="G29" s="26"/>
      <c r="H29" s="26"/>
      <c r="I29" s="26"/>
      <c r="J29" s="26"/>
      <c r="K29" s="26"/>
      <c r="L29" s="26"/>
    </row>
  </sheetData>
  <mergeCells count="13">
    <mergeCell ref="D8:L8"/>
    <mergeCell ref="D6:L7"/>
    <mergeCell ref="E9:L9"/>
    <mergeCell ref="E10:L10"/>
    <mergeCell ref="E11:L16"/>
    <mergeCell ref="E17:L17"/>
    <mergeCell ref="E18:L18"/>
    <mergeCell ref="E19:L19"/>
    <mergeCell ref="E20:L20"/>
    <mergeCell ref="E21:L21"/>
    <mergeCell ref="D4:L4"/>
    <mergeCell ref="D5:L5"/>
    <mergeCell ref="E22:L2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Primeira tela</vt:lpstr>
      <vt:lpstr>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Pereira Garcia</dc:creator>
  <cp:lastModifiedBy>Carlos Antonio Pereira Garcia</cp:lastModifiedBy>
  <dcterms:created xsi:type="dcterms:W3CDTF">2026-06-30T13:52:16Z</dcterms:created>
  <dcterms:modified xsi:type="dcterms:W3CDTF">2026-07-06T15:00:46Z</dcterms:modified>
</cp:coreProperties>
</file>