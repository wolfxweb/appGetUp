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ania\Desktop\"/>
    </mc:Choice>
  </mc:AlternateContent>
  <xr:revisionPtr revIDLastSave="0" documentId="8_{B11215B2-7FEE-401B-9D2B-58023EF0D040}" xr6:coauthVersionLast="47" xr6:coauthVersionMax="47" xr10:uidLastSave="{00000000-0000-0000-0000-000000000000}"/>
  <bookViews>
    <workbookView xWindow="-120" yWindow="-120" windowWidth="20730" windowHeight="11160" activeTab="2" xr2:uid="{0D58D215-9E90-484E-B1D4-165A45A33434}"/>
  </bookViews>
  <sheets>
    <sheet name="Ritmo do Negócio" sheetId="6" r:id="rId1"/>
    <sheet name="Banco de dados 1" sheetId="2" r:id="rId2"/>
    <sheet name="Banco de dados 2" sheetId="5"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1" i="5" l="1"/>
  <c r="H15" i="5"/>
  <c r="H16" i="5"/>
  <c r="H17" i="5"/>
  <c r="H18" i="5"/>
  <c r="H19" i="5"/>
  <c r="H20" i="5"/>
  <c r="H22" i="5"/>
  <c r="H23" i="5"/>
  <c r="H14" i="5"/>
  <c r="H13" i="5"/>
  <c r="H12" i="5"/>
  <c r="G24" i="5" l="1"/>
  <c r="H24" i="2"/>
  <c r="H20" i="2"/>
  <c r="H18" i="2"/>
  <c r="H16" i="2"/>
  <c r="H12" i="2"/>
  <c r="H10" i="2"/>
  <c r="H8" i="2"/>
  <c r="H6" i="2"/>
  <c r="I22" i="5"/>
  <c r="I23" i="5"/>
  <c r="I12" i="5"/>
  <c r="I13" i="5"/>
  <c r="I14" i="5"/>
  <c r="I15" i="5"/>
  <c r="I16" i="5"/>
  <c r="I17" i="5"/>
  <c r="I18" i="5"/>
  <c r="I19" i="5"/>
  <c r="I20" i="5"/>
  <c r="I21" i="5"/>
  <c r="I24" i="5"/>
</calcChain>
</file>

<file path=xl/sharedStrings.xml><?xml version="1.0" encoding="utf-8"?>
<sst xmlns="http://schemas.openxmlformats.org/spreadsheetml/2006/main" count="91" uniqueCount="75">
  <si>
    <t>INDIQUE COM X, SE AS VENDAS</t>
  </si>
  <si>
    <t>AUMENTAM</t>
  </si>
  <si>
    <t>DIMINUEM</t>
  </si>
  <si>
    <t>CARNAVAL</t>
  </si>
  <si>
    <t>DIA DA MULHER</t>
  </si>
  <si>
    <t>DIA DAS MÃES</t>
  </si>
  <si>
    <t>DIA DOS NAMORADOS</t>
  </si>
  <si>
    <t>FESTAS JUNINAS</t>
  </si>
  <si>
    <t>FESTIVAIS, FEIRAS, EXPOSIÇÕES</t>
  </si>
  <si>
    <t>EVENTOS FOLCLÓRICOS</t>
  </si>
  <si>
    <t>FESTAS DE PEÃO (RODEIOS)</t>
  </si>
  <si>
    <t>DIA DOS PAIS</t>
  </si>
  <si>
    <t>DIA DOS AVÓS</t>
  </si>
  <si>
    <t>DIA DA SECRETÁRIA</t>
  </si>
  <si>
    <t>DIA DAS CRIANÇAS</t>
  </si>
  <si>
    <t>EVENTOS ESPORTIVOS</t>
  </si>
  <si>
    <t>COMEMORAÇÕES DE FIM-DE-ANO</t>
  </si>
  <si>
    <t>PERÍODOS DE MUITA CHUVA</t>
  </si>
  <si>
    <t>ATIVIDAES AGRÍCOLAS</t>
  </si>
  <si>
    <t>OBRAS PÚBLICAS</t>
  </si>
  <si>
    <t>COMEMORAÇÕES E EVENTOS RELIGIOSOS</t>
  </si>
  <si>
    <t>OBRAS E EMPREENDIMNTOS PARTICULARES</t>
  </si>
  <si>
    <t>PERÍODOS DE MUITO CALOR</t>
  </si>
  <si>
    <t>EVENTOS QUE INFLUENCIAM AS VENDAS DA LOJA</t>
  </si>
  <si>
    <t>MÊS</t>
  </si>
  <si>
    <t>DEZ</t>
  </si>
  <si>
    <t>FÉRIAS ESCOLARES/RECESSOS</t>
  </si>
  <si>
    <t>VOLTA ÀS AULAS</t>
  </si>
  <si>
    <t>FÉRIAS ESCOLARES</t>
  </si>
  <si>
    <t>JAN</t>
  </si>
  <si>
    <t>FEV</t>
  </si>
  <si>
    <t>MAR</t>
  </si>
  <si>
    <t>ABR</t>
  </si>
  <si>
    <t>MAI</t>
  </si>
  <si>
    <t>JUN</t>
  </si>
  <si>
    <t>JUL</t>
  </si>
  <si>
    <t>AGO</t>
  </si>
  <si>
    <t>SET</t>
  </si>
  <si>
    <t>OUT</t>
  </si>
  <si>
    <t>NOV</t>
  </si>
  <si>
    <t>INDIQUE COM X O(s) MÊS(es) INFLUENCIADO(s) PELO EVENTO.                                                                                                                                                                                                         Caso não de aplique, deixe sem preencher</t>
  </si>
  <si>
    <t>ANO</t>
  </si>
  <si>
    <t>NOTAS ATRIBUIDAS</t>
  </si>
  <si>
    <t>RITMO DO NEGÓCIO</t>
  </si>
  <si>
    <t>Quando?</t>
  </si>
  <si>
    <t>Atribua uma nota para expressar a importância do mês para o seu Negócio:</t>
  </si>
  <si>
    <t>JANEIRO</t>
  </si>
  <si>
    <t>Tendo em mente o perfil do seu público-alvo, e, o que você conhece e prevê na área de alcance do seu negócio, você considera que:</t>
  </si>
  <si>
    <t>ATIVIDADES AGRÍCOLAS</t>
  </si>
  <si>
    <t>EVENTO:</t>
  </si>
  <si>
    <t>Quando o último evento da planilha 1 tiver sido avaliado o programa exibe a pergunta: "Gostaria de acrescentar algum evento significativo para o seu Negócio?igitar SIM, libera para digitar. NÃO: o programa exibe:</t>
  </si>
  <si>
    <r>
      <t>O programa lista os eventos que contibuem e/ou prejudicam as vendas no mês, ou "</t>
    </r>
    <r>
      <rPr>
        <b/>
        <i/>
        <sz val="11"/>
        <color theme="1"/>
        <rFont val="Calibri"/>
        <family val="2"/>
        <scheme val="minor"/>
      </rPr>
      <t>Para este mês, nenhum evento significtivo para suas vendas!</t>
    </r>
    <r>
      <rPr>
        <i/>
        <sz val="11"/>
        <color theme="1"/>
        <rFont val="Calibri"/>
        <family val="2"/>
        <scheme val="minor"/>
      </rPr>
      <t xml:space="preserve">" </t>
    </r>
  </si>
  <si>
    <t>NOTA:</t>
  </si>
  <si>
    <t xml:space="preserve">         10 = MELHOR; 9 ou 8 =  MUITO BOM; 7 ou 6 = BOM;        </t>
  </si>
  <si>
    <t xml:space="preserve">          5 ou 4 = RAZOÁVEL; 3 ou 2 = FRACO; 1 =PIOR.</t>
  </si>
  <si>
    <t>A relação de todos os eventos está na Planilha Banco de dados 1</t>
  </si>
  <si>
    <t>Quando o usuário acionar um dos botões, automaticamente o programa salva no Banco de ados 1 e exibe o próximo evento</t>
  </si>
  <si>
    <t>DADOS BÁSICOS</t>
  </si>
  <si>
    <t>Ano</t>
  </si>
  <si>
    <t>Mês</t>
  </si>
  <si>
    <t>Vendas</t>
  </si>
  <si>
    <t>RÍTMO DO NEGÓCIO:</t>
  </si>
  <si>
    <t>FÓRMULAS</t>
  </si>
  <si>
    <r>
      <t xml:space="preserve">MÊS DE </t>
    </r>
    <r>
      <rPr>
        <b/>
        <sz val="10"/>
        <color theme="1"/>
        <rFont val="Calibri"/>
        <family val="2"/>
        <scheme val="minor"/>
      </rPr>
      <t>JANEIRO</t>
    </r>
    <r>
      <rPr>
        <sz val="10"/>
        <color theme="1"/>
        <rFont val="Calibri"/>
        <family val="2"/>
        <scheme val="minor"/>
      </rPr>
      <t>: SE(E(Nota atrib.DEZ="";Nota atrib.JAN="");"";Nota atrib.DEZ/Nota atrib.JAN)</t>
    </r>
  </si>
  <si>
    <r>
      <t>DEMAIS MESES:</t>
    </r>
    <r>
      <rPr>
        <sz val="10"/>
        <color theme="1"/>
        <rFont val="Calibri"/>
        <family val="2"/>
        <scheme val="minor"/>
      </rPr>
      <t>SE(E(Nota atrib.</t>
    </r>
    <r>
      <rPr>
        <b/>
        <sz val="10"/>
        <color theme="1"/>
        <rFont val="Calibri"/>
        <family val="2"/>
        <scheme val="minor"/>
      </rPr>
      <t>MÊS ANTERIOR="";Nota atrib. AO MÊS="");"";</t>
    </r>
    <r>
      <rPr>
        <sz val="10"/>
        <color theme="1"/>
        <rFont val="Calibri"/>
        <family val="2"/>
        <scheme val="minor"/>
      </rPr>
      <t xml:space="preserve">Nota atrib. </t>
    </r>
    <r>
      <rPr>
        <b/>
        <sz val="10"/>
        <color theme="1"/>
        <rFont val="Calibri"/>
        <family val="2"/>
        <scheme val="minor"/>
      </rPr>
      <t>AO MÊS/</t>
    </r>
    <r>
      <rPr>
        <sz val="10"/>
        <color theme="1"/>
        <rFont val="Calibri"/>
        <family val="2"/>
        <scheme val="minor"/>
      </rPr>
      <t>Nota atrib.</t>
    </r>
    <r>
      <rPr>
        <b/>
        <sz val="10"/>
        <color theme="1"/>
        <rFont val="Calibri"/>
        <family val="2"/>
        <scheme val="minor"/>
      </rPr>
      <t>MÊS ANTERIOR)</t>
    </r>
  </si>
  <si>
    <t>QUANTIDADE DE VENDAS</t>
  </si>
  <si>
    <t>QUANTIDADE DE VENDAS:</t>
  </si>
  <si>
    <r>
      <rPr>
        <b/>
        <u/>
        <sz val="10"/>
        <color rgb="FFC00000"/>
        <rFont val="Calibri"/>
        <family val="2"/>
        <scheme val="minor"/>
      </rPr>
      <t>Regra geral</t>
    </r>
    <r>
      <rPr>
        <b/>
        <sz val="10"/>
        <color rgb="FFC00000"/>
        <rFont val="Calibri"/>
        <family val="2"/>
        <scheme val="minor"/>
      </rPr>
      <t xml:space="preserve">: </t>
    </r>
    <r>
      <rPr>
        <b/>
        <sz val="10"/>
        <color theme="1"/>
        <rFont val="Calibri"/>
        <family val="2"/>
        <scheme val="minor"/>
      </rPr>
      <t>sempre que uma quantidade for originária de Dados Básicos (inclusive do histórico referente ao mesmo ano), deverá ficar fixo (por ser "real"). As "estimativas" só se aplicam aos meses posteriores ao último lançamento em Dados básicos.</t>
    </r>
  </si>
  <si>
    <t>(SE(OU($C$4="";$C$5="");"";SE(F12=$C$4;$C$5;H12*I23)))</t>
  </si>
  <si>
    <r>
      <t xml:space="preserve">MÊSDE </t>
    </r>
    <r>
      <rPr>
        <b/>
        <sz val="11"/>
        <color theme="1"/>
        <rFont val="Calibri"/>
        <family val="2"/>
        <scheme val="minor"/>
      </rPr>
      <t>JANEIRO</t>
    </r>
    <r>
      <rPr>
        <sz val="11"/>
        <color theme="1"/>
        <rFont val="Calibri"/>
        <family val="2"/>
        <scheme val="minor"/>
      </rPr>
      <t>: (SE(OU(Mês ou Ano em Dados básicos="";Vendas em Dados básicos="");"";SE(Mês e Ano=Mês e Ano Dados básicos;Vendas Dados básicos;Percentual Rítmo Negócio*Quant.Vendas DEZ)))</t>
    </r>
  </si>
  <si>
    <t>DEMAIS MESES:  (SE(OU(Mês ou Ano em Dados básicos="";Vendas em Dados básicos="");"";SE(Mês e Ano=Mês e Ano Dados básicos;Vendas Dados básicos;Percentual Rítmo Negócio*Quant.Vendas MÊS ANTERIOR)))</t>
  </si>
  <si>
    <t xml:space="preserve"> </t>
  </si>
  <si>
    <t>IMPORTANTE:</t>
  </si>
  <si>
    <t>As colunas das "Quantidades reais" (oriundas de Dados Básicos) devem ter cor diferente (ex.: verde), das quantidaes estimadas (cinza).</t>
  </si>
  <si>
    <t>O programa salva automaticamente no Banco de dados 2. Quando os 12 meses tiverem sido avaliados, o programa exibe o gráfico abaixo.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</si>
</sst>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9"/>
      <color theme="1"/>
      <name val="Calibri"/>
      <family val="2"/>
      <scheme val="minor"/>
    </font>
    <font>
      <sz val="11"/>
      <color theme="2" tint="-0.249977111117893"/>
      <name val="Calibri"/>
      <family val="2"/>
      <scheme val="minor"/>
    </font>
    <font>
      <sz val="11"/>
      <color theme="2"/>
      <name val="Calibri"/>
      <family val="2"/>
      <scheme val="minor"/>
    </font>
    <font>
      <b/>
      <sz val="14"/>
      <color theme="2" tint="-0.749992370372631"/>
      <name val="Calibri"/>
      <family val="2"/>
      <scheme val="minor"/>
    </font>
    <font>
      <b/>
      <sz val="9"/>
      <name val="Calibri"/>
      <family val="2"/>
      <scheme val="minor"/>
    </font>
    <font>
      <b/>
      <sz val="10"/>
      <color theme="2" tint="-0.249977111117893"/>
      <name val="Calibri"/>
      <family val="2"/>
      <scheme val="minor"/>
    </font>
    <font>
      <b/>
      <sz val="10"/>
      <color theme="1"/>
      <name val="Calibri"/>
      <family val="2"/>
      <scheme val="minor"/>
    </font>
    <font>
      <sz val="10"/>
      <color theme="1"/>
      <name val="Calibri"/>
      <family val="2"/>
      <scheme val="minor"/>
    </font>
    <font>
      <sz val="10"/>
      <name val="Calibri"/>
      <family val="2"/>
      <scheme val="minor"/>
    </font>
    <font>
      <b/>
      <sz val="10"/>
      <name val="Calibri"/>
      <family val="2"/>
      <scheme val="minor"/>
    </font>
    <font>
      <b/>
      <sz val="12"/>
      <color theme="1"/>
      <name val="Calibri"/>
      <family val="2"/>
      <scheme val="minor"/>
    </font>
    <font>
      <i/>
      <sz val="11"/>
      <color theme="1"/>
      <name val="Calibri"/>
      <family val="2"/>
      <scheme val="minor"/>
    </font>
    <font>
      <b/>
      <sz val="8"/>
      <color theme="1"/>
      <name val="Calibri"/>
      <family val="2"/>
      <scheme val="minor"/>
    </font>
    <font>
      <b/>
      <i/>
      <sz val="11"/>
      <color theme="1"/>
      <name val="Calibri"/>
      <family val="2"/>
      <scheme val="minor"/>
    </font>
    <font>
      <sz val="8"/>
      <name val="Calibri"/>
      <family val="2"/>
      <scheme val="minor"/>
    </font>
    <font>
      <b/>
      <sz val="10"/>
      <color rgb="FFC00000"/>
      <name val="Calibri"/>
      <family val="2"/>
      <scheme val="minor"/>
    </font>
    <font>
      <b/>
      <u/>
      <sz val="10"/>
      <color rgb="FFC00000"/>
      <name val="Calibri"/>
      <family val="2"/>
      <scheme val="minor"/>
    </font>
    <font>
      <b/>
      <sz val="11"/>
      <color rgb="FFC00000"/>
      <name val="Calibri"/>
      <family val="2"/>
      <scheme val="minor"/>
    </font>
  </fonts>
  <fills count="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4"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30">
    <xf numFmtId="0" fontId="0" fillId="0" borderId="0" xfId="0"/>
    <xf numFmtId="0" fontId="0" fillId="2" borderId="0" xfId="0" applyFill="1"/>
    <xf numFmtId="0" fontId="0" fillId="2" borderId="0" xfId="0" applyFill="1" applyAlignment="1">
      <alignment vertical="center" wrapText="1"/>
    </xf>
    <xf numFmtId="0" fontId="2" fillId="2" borderId="0" xfId="0" applyFont="1" applyFill="1"/>
    <xf numFmtId="0" fontId="11" fillId="2" borderId="0" xfId="0" applyFont="1" applyFill="1" applyAlignment="1">
      <alignment horizontal="center" vertical="center"/>
    </xf>
    <xf numFmtId="0" fontId="12" fillId="2" borderId="0" xfId="0" applyFont="1" applyFill="1" applyAlignment="1">
      <alignment horizontal="center" vertical="center" wrapText="1"/>
    </xf>
    <xf numFmtId="0" fontId="4" fillId="0" borderId="0" xfId="0" applyFont="1"/>
    <xf numFmtId="0" fontId="8" fillId="0" borderId="0" xfId="0" applyFont="1" applyAlignment="1">
      <alignment wrapText="1"/>
    </xf>
    <xf numFmtId="0" fontId="5" fillId="0" borderId="0" xfId="0" applyFont="1"/>
    <xf numFmtId="0" fontId="3" fillId="0" borderId="0" xfId="0" applyFont="1" applyAlignment="1">
      <alignment vertical="center"/>
    </xf>
    <xf numFmtId="0" fontId="0" fillId="0" borderId="0" xfId="0" applyAlignment="1">
      <alignment vertical="center"/>
    </xf>
    <xf numFmtId="0" fontId="3" fillId="0" borderId="1" xfId="0" applyFont="1" applyBorder="1"/>
    <xf numFmtId="0" fontId="6" fillId="0" borderId="0" xfId="0" applyFont="1" applyAlignment="1">
      <alignment wrapText="1"/>
    </xf>
    <xf numFmtId="0" fontId="7" fillId="0" borderId="12" xfId="0" applyFont="1" applyBorder="1" applyAlignment="1">
      <alignment vertical="center" wrapText="1"/>
    </xf>
    <xf numFmtId="0" fontId="2" fillId="0" borderId="12" xfId="0" applyFont="1" applyBorder="1" applyAlignment="1">
      <alignment horizontal="center"/>
    </xf>
    <xf numFmtId="0" fontId="3"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center" wrapText="1"/>
    </xf>
    <xf numFmtId="0" fontId="2" fillId="0" borderId="1" xfId="0" applyFont="1" applyBorder="1" applyAlignment="1" applyProtection="1">
      <alignment horizontal="center" vertical="center"/>
      <protection locked="0"/>
    </xf>
    <xf numFmtId="0" fontId="9" fillId="0" borderId="0" xfId="0" applyFont="1" applyAlignment="1">
      <alignment horizontal="center" vertical="center"/>
    </xf>
    <xf numFmtId="0" fontId="2" fillId="0" borderId="1" xfId="0" applyFont="1" applyBorder="1" applyAlignment="1" applyProtection="1">
      <alignment horizontal="center" vertical="center" wrapText="1"/>
      <protection locked="0"/>
    </xf>
    <xf numFmtId="0" fontId="0" fillId="0" borderId="13" xfId="0" applyBorder="1"/>
    <xf numFmtId="0" fontId="10" fillId="0" borderId="0" xfId="0" applyFont="1" applyAlignment="1">
      <alignment horizontal="left" vertical="center"/>
    </xf>
    <xf numFmtId="0" fontId="10" fillId="0" borderId="0" xfId="0" applyFont="1" applyAlignment="1">
      <alignment horizontal="left"/>
    </xf>
    <xf numFmtId="9" fontId="3" fillId="0" borderId="0" xfId="1" applyFont="1" applyFill="1" applyBorder="1" applyAlignment="1">
      <alignment horizontal="center" vertical="center" wrapText="1"/>
    </xf>
    <xf numFmtId="0" fontId="2" fillId="0" borderId="1" xfId="0" applyFont="1" applyBorder="1" applyAlignment="1">
      <alignment horizontal="center"/>
    </xf>
    <xf numFmtId="0" fontId="0" fillId="0" borderId="0" xfId="0" applyAlignment="1">
      <alignment vertical="center" wrapText="1"/>
    </xf>
    <xf numFmtId="0" fontId="2" fillId="0" borderId="0" xfId="0" applyFont="1"/>
    <xf numFmtId="0" fontId="0" fillId="0" borderId="0" xfId="0" applyAlignment="1">
      <alignment horizontal="center"/>
    </xf>
    <xf numFmtId="164" fontId="0" fillId="0" borderId="0" xfId="1" applyNumberFormat="1" applyFont="1" applyAlignment="1">
      <alignment horizontal="center"/>
    </xf>
    <xf numFmtId="164" fontId="0" fillId="0" borderId="0" xfId="0" applyNumberFormat="1" applyAlignment="1">
      <alignment horizontal="center"/>
    </xf>
    <xf numFmtId="0" fontId="10" fillId="0" borderId="0" xfId="0" applyFont="1" applyAlignment="1">
      <alignment vertical="top" wrapText="1"/>
    </xf>
    <xf numFmtId="0" fontId="10" fillId="0" borderId="0" xfId="0" applyFont="1" applyAlignment="1">
      <alignment horizontal="center" vertical="top" wrapText="1"/>
    </xf>
    <xf numFmtId="0" fontId="2" fillId="0" borderId="0" xfId="0" applyFont="1" applyAlignment="1">
      <alignment horizontal="center"/>
    </xf>
    <xf numFmtId="0" fontId="3" fillId="0" borderId="8" xfId="0" applyFont="1" applyBorder="1" applyAlignment="1">
      <alignment horizontal="left" vertical="center"/>
    </xf>
    <xf numFmtId="0" fontId="3" fillId="0" borderId="10" xfId="0" applyFont="1" applyBorder="1" applyAlignment="1">
      <alignment horizontal="left"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10" fillId="4" borderId="0" xfId="0" applyFont="1" applyFill="1" applyAlignment="1">
      <alignment horizontal="center"/>
    </xf>
    <xf numFmtId="0" fontId="2" fillId="0" borderId="0" xfId="0" applyFont="1" applyAlignment="1">
      <alignment wrapText="1"/>
    </xf>
    <xf numFmtId="0" fontId="13" fillId="0" borderId="0" xfId="0" applyFont="1" applyAlignment="1">
      <alignment horizontal="center"/>
    </xf>
    <xf numFmtId="0" fontId="2" fillId="0" borderId="0" xfId="0" applyFont="1" applyBorder="1" applyAlignment="1" applyProtection="1">
      <alignment horizontal="center" vertical="center"/>
      <protection locked="0"/>
    </xf>
    <xf numFmtId="0" fontId="9" fillId="0" borderId="0" xfId="0" applyFont="1" applyBorder="1" applyAlignment="1">
      <alignment horizontal="center" vertical="center"/>
    </xf>
    <xf numFmtId="0" fontId="2" fillId="0" borderId="0" xfId="0" applyFont="1" applyBorder="1" applyAlignment="1" applyProtection="1">
      <alignment horizontal="center" vertical="center" wrapText="1"/>
      <protection locked="0"/>
    </xf>
    <xf numFmtId="0" fontId="5" fillId="0" borderId="0" xfId="0" applyFont="1" applyBorder="1"/>
    <xf numFmtId="0" fontId="0" fillId="0" borderId="0" xfId="0" applyBorder="1"/>
    <xf numFmtId="0" fontId="2" fillId="0" borderId="0" xfId="0" applyFont="1" applyAlignment="1"/>
    <xf numFmtId="0" fontId="2" fillId="0" borderId="0" xfId="0" applyFont="1" applyAlignment="1">
      <alignment horizontal="left" wrapText="1"/>
    </xf>
    <xf numFmtId="0" fontId="5" fillId="2" borderId="0" xfId="0" applyFont="1" applyFill="1" applyBorder="1" applyAlignment="1">
      <alignment horizontal="center"/>
    </xf>
    <xf numFmtId="0" fontId="2" fillId="2" borderId="0" xfId="0" applyFont="1" applyFill="1" applyBorder="1" applyAlignment="1">
      <alignment horizontal="center"/>
    </xf>
    <xf numFmtId="0" fontId="0" fillId="0" borderId="15" xfId="0" applyBorder="1"/>
    <xf numFmtId="0" fontId="14" fillId="3" borderId="0" xfId="0" applyFont="1" applyFill="1" applyAlignment="1">
      <alignment horizontal="left" vertical="center" wrapText="1"/>
    </xf>
    <xf numFmtId="0" fontId="0" fillId="0" borderId="0" xfId="0" applyAlignment="1">
      <alignment horizontal="left" vertical="center" wrapText="1"/>
    </xf>
    <xf numFmtId="0" fontId="2" fillId="4" borderId="8" xfId="0" applyFont="1" applyFill="1" applyBorder="1" applyAlignment="1">
      <alignment horizontal="center"/>
    </xf>
    <xf numFmtId="0" fontId="2" fillId="4" borderId="14" xfId="0" applyFont="1" applyFill="1" applyBorder="1" applyAlignment="1">
      <alignment horizontal="center"/>
    </xf>
    <xf numFmtId="0" fontId="2" fillId="4" borderId="10" xfId="0" applyFont="1" applyFill="1" applyBorder="1" applyAlignment="1">
      <alignment horizontal="center"/>
    </xf>
    <xf numFmtId="0" fontId="3" fillId="0" borderId="0" xfId="0" applyFont="1"/>
    <xf numFmtId="0" fontId="0" fillId="0" borderId="0" xfId="0" applyFill="1" applyAlignment="1"/>
    <xf numFmtId="0" fontId="14" fillId="3" borderId="0" xfId="0" applyFont="1" applyFill="1" applyAlignment="1">
      <alignment horizontal="left" wrapText="1"/>
    </xf>
    <xf numFmtId="0" fontId="0" fillId="0" borderId="0" xfId="0" applyAlignment="1"/>
    <xf numFmtId="0" fontId="14" fillId="0" borderId="0" xfId="0" applyFont="1" applyFill="1" applyAlignment="1">
      <alignment vertical="center" wrapText="1"/>
    </xf>
    <xf numFmtId="9" fontId="15" fillId="0" borderId="0" xfId="1" applyFont="1" applyFill="1" applyBorder="1" applyAlignment="1">
      <alignment vertical="center"/>
    </xf>
    <xf numFmtId="9" fontId="15" fillId="0" borderId="0" xfId="1" applyFont="1" applyFill="1" applyBorder="1" applyAlignment="1">
      <alignment horizontal="center" vertical="center" wrapText="1"/>
    </xf>
    <xf numFmtId="0" fontId="9" fillId="0" borderId="0" xfId="0" applyFont="1" applyAlignment="1">
      <alignment horizontal="center"/>
    </xf>
    <xf numFmtId="0" fontId="15" fillId="0" borderId="0" xfId="0" applyFont="1" applyAlignment="1">
      <alignment horizontal="left"/>
    </xf>
    <xf numFmtId="0" fontId="15" fillId="0" borderId="16" xfId="0" applyFont="1" applyBorder="1" applyAlignment="1">
      <alignment horizontal="left"/>
    </xf>
    <xf numFmtId="0" fontId="14" fillId="3" borderId="9" xfId="0" applyFont="1" applyFill="1" applyBorder="1" applyAlignment="1">
      <alignment horizontal="left"/>
    </xf>
    <xf numFmtId="0" fontId="14" fillId="3" borderId="0" xfId="0" applyFont="1" applyFill="1" applyBorder="1" applyAlignment="1">
      <alignment horizontal="left"/>
    </xf>
    <xf numFmtId="0" fontId="0" fillId="0" borderId="0" xfId="0" applyFont="1" applyFill="1" applyAlignment="1">
      <alignment vertical="center"/>
    </xf>
    <xf numFmtId="0" fontId="0" fillId="0" borderId="1" xfId="0" applyBorder="1" applyAlignment="1">
      <alignment horizontal="center"/>
    </xf>
    <xf numFmtId="0" fontId="0" fillId="0" borderId="1" xfId="0" applyBorder="1" applyAlignment="1">
      <alignment horizontal="left"/>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0" fillId="0" borderId="21" xfId="0" applyBorder="1" applyAlignment="1">
      <alignment horizontal="center"/>
    </xf>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center"/>
    </xf>
    <xf numFmtId="0" fontId="10" fillId="0" borderId="0" xfId="0" applyFont="1" applyAlignment="1">
      <alignment horizontal="left" vertical="top" wrapText="1"/>
    </xf>
    <xf numFmtId="0" fontId="2" fillId="0" borderId="0" xfId="0" applyFont="1" applyAlignment="1">
      <alignment horizontal="center" vertical="center"/>
    </xf>
    <xf numFmtId="0" fontId="9" fillId="0" borderId="0" xfId="0" applyFont="1" applyAlignment="1">
      <alignment horizontal="left" vertical="top" wrapText="1"/>
    </xf>
    <xf numFmtId="0" fontId="9" fillId="0" borderId="0" xfId="0" applyFont="1" applyAlignment="1">
      <alignment horizontal="left" vertical="center" wrapText="1"/>
    </xf>
    <xf numFmtId="1" fontId="0" fillId="0" borderId="1" xfId="0" applyNumberFormat="1" applyBorder="1" applyAlignment="1">
      <alignment horizontal="center"/>
    </xf>
    <xf numFmtId="164" fontId="0" fillId="0" borderId="1" xfId="1" applyNumberFormat="1" applyFont="1" applyBorder="1" applyAlignment="1">
      <alignment horizontal="center"/>
    </xf>
    <xf numFmtId="0" fontId="0" fillId="0" borderId="12" xfId="0" applyBorder="1" applyAlignment="1">
      <alignment horizontal="center"/>
    </xf>
    <xf numFmtId="1" fontId="0" fillId="0" borderId="12" xfId="0" applyNumberFormat="1" applyBorder="1" applyAlignment="1">
      <alignment horizontal="center"/>
    </xf>
    <xf numFmtId="164" fontId="0" fillId="0" borderId="12" xfId="1" applyNumberFormat="1" applyFont="1" applyBorder="1" applyAlignment="1">
      <alignment horizontal="center"/>
    </xf>
    <xf numFmtId="0" fontId="0" fillId="0" borderId="17" xfId="0" applyBorder="1" applyAlignment="1">
      <alignment horizontal="center" vertical="center"/>
    </xf>
    <xf numFmtId="0" fontId="0" fillId="0" borderId="18" xfId="0" applyBorder="1" applyAlignment="1">
      <alignment horizontal="center" vertical="center"/>
    </xf>
    <xf numFmtId="0" fontId="9" fillId="0" borderId="18" xfId="0" applyFont="1" applyBorder="1" applyAlignment="1">
      <alignment horizontal="center" vertical="center" wrapText="1"/>
    </xf>
    <xf numFmtId="0" fontId="9" fillId="0" borderId="25" xfId="0" applyFont="1" applyBorder="1" applyAlignment="1">
      <alignment horizontal="center" vertical="center" wrapText="1"/>
    </xf>
    <xf numFmtId="0" fontId="0" fillId="0" borderId="22" xfId="0" applyBorder="1" applyAlignment="1">
      <alignment horizontal="center" vertical="center"/>
    </xf>
    <xf numFmtId="0" fontId="0" fillId="0" borderId="23" xfId="0" applyBorder="1" applyAlignment="1">
      <alignment horizontal="center" vertical="center"/>
    </xf>
    <xf numFmtId="0" fontId="9" fillId="0" borderId="23" xfId="0" applyFont="1" applyBorder="1" applyAlignment="1">
      <alignment horizontal="center" vertical="center" wrapText="1"/>
    </xf>
    <xf numFmtId="0" fontId="9" fillId="0" borderId="26" xfId="0" applyFont="1" applyBorder="1" applyAlignment="1">
      <alignment horizontal="center" vertical="center" wrapText="1"/>
    </xf>
    <xf numFmtId="0" fontId="0" fillId="0" borderId="27" xfId="0" applyBorder="1" applyAlignment="1">
      <alignment horizontal="center"/>
    </xf>
    <xf numFmtId="3" fontId="0" fillId="0" borderId="28" xfId="1" applyNumberFormat="1" applyFont="1" applyBorder="1" applyAlignment="1">
      <alignment horizontal="center"/>
    </xf>
    <xf numFmtId="0" fontId="0" fillId="0" borderId="20" xfId="0" applyBorder="1" applyAlignment="1">
      <alignment horizontal="center"/>
    </xf>
    <xf numFmtId="3" fontId="0" fillId="0" borderId="21" xfId="1" applyNumberFormat="1" applyFont="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1" fontId="0" fillId="0" borderId="23" xfId="0" applyNumberFormat="1" applyBorder="1" applyAlignment="1">
      <alignment horizontal="center"/>
    </xf>
    <xf numFmtId="164" fontId="0" fillId="0" borderId="23" xfId="1" applyNumberFormat="1" applyFont="1" applyBorder="1" applyAlignment="1">
      <alignment horizontal="center"/>
    </xf>
    <xf numFmtId="3" fontId="0" fillId="0" borderId="24" xfId="1" applyNumberFormat="1" applyFont="1" applyBorder="1" applyAlignment="1">
      <alignment horizontal="center"/>
    </xf>
    <xf numFmtId="0" fontId="10" fillId="0" borderId="0" xfId="0" applyFont="1" applyFill="1" applyAlignment="1">
      <alignment vertical="top" wrapText="1"/>
    </xf>
    <xf numFmtId="1" fontId="2" fillId="0" borderId="15" xfId="0" applyNumberFormat="1" applyFont="1" applyFill="1" applyBorder="1" applyAlignment="1">
      <alignment horizontal="center"/>
    </xf>
    <xf numFmtId="0" fontId="18" fillId="0" borderId="0" xfId="0" applyFont="1" applyAlignment="1">
      <alignment horizontal="left" vertical="center" wrapText="1"/>
    </xf>
    <xf numFmtId="0" fontId="0" fillId="0" borderId="0" xfId="0" applyAlignment="1">
      <alignment horizontal="center" vertical="top"/>
    </xf>
    <xf numFmtId="0" fontId="2" fillId="0" borderId="0" xfId="0" applyFont="1" applyAlignment="1">
      <alignment horizontal="left" vertical="top" wrapText="1"/>
    </xf>
    <xf numFmtId="3" fontId="0" fillId="0" borderId="15" xfId="1" applyNumberFormat="1" applyFont="1" applyBorder="1" applyAlignment="1">
      <alignment horizontal="center"/>
    </xf>
    <xf numFmtId="0" fontId="20" fillId="0" borderId="0" xfId="0" applyFont="1" applyAlignment="1">
      <alignment horizontal="left"/>
    </xf>
  </cellXfs>
  <cellStyles count="2">
    <cellStyle name="Normal" xfId="0" builtinId="0"/>
    <cellStyle name="Porcentagem" xfId="1" builtinId="5"/>
  </cellStyles>
  <dxfs count="4">
    <dxf>
      <fill>
        <patternFill>
          <bgColor rgb="FF00FF00"/>
        </patternFill>
      </fill>
    </dxf>
    <dxf>
      <font>
        <color rgb="FF9C0006"/>
      </font>
      <fill>
        <patternFill>
          <bgColor rgb="FFFFC7CE"/>
        </patternFill>
      </fill>
    </dxf>
    <dxf>
      <fill>
        <patternFill>
          <bgColor rgb="FF00FF00"/>
        </patternFill>
      </fill>
    </dxf>
    <dxf>
      <font>
        <color rgb="FF9C0006"/>
      </font>
      <fill>
        <patternFill>
          <bgColor rgb="FFFFC7CE"/>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RÍTMO DO NEGÓCIO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Pt>
            <c:idx val="9"/>
            <c:invertIfNegative val="0"/>
            <c:bubble3D val="0"/>
            <c:spPr>
              <a:solidFill>
                <a:schemeClr val="accent1"/>
              </a:solidFill>
              <a:ln>
                <a:noFill/>
              </a:ln>
              <a:effectLst/>
              <a:sp3d/>
            </c:spPr>
            <c:extLst>
              <c:ext xmlns:c16="http://schemas.microsoft.com/office/drawing/2014/chart" uri="{C3380CC4-5D6E-409C-BE32-E72D297353CC}">
                <c16:uniqueId val="{00000001-1257-4389-823B-8E0958D01D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'Banco de dados 2'!$I$12:$I$23</c:f>
              <c:numCache>
                <c:formatCode>#,##0</c:formatCode>
                <c:ptCount val="12"/>
                <c:pt idx="0">
                  <c:v>642.85714285714289</c:v>
                </c:pt>
                <c:pt idx="1">
                  <c:v>571.42857142857144</c:v>
                </c:pt>
                <c:pt idx="2">
                  <c:v>142.85714285714286</c:v>
                </c:pt>
                <c:pt idx="3">
                  <c:v>71.428571428571431</c:v>
                </c:pt>
                <c:pt idx="4">
                  <c:v>500</c:v>
                </c:pt>
                <c:pt idx="5">
                  <c:v>428.57142857142856</c:v>
                </c:pt>
                <c:pt idx="6">
                  <c:v>571.42857142857133</c:v>
                </c:pt>
                <c:pt idx="7">
                  <c:v>285.71428571428567</c:v>
                </c:pt>
                <c:pt idx="8">
                  <c:v>214.28571428571425</c:v>
                </c:pt>
                <c:pt idx="9">
                  <c:v>357.14285714285711</c:v>
                </c:pt>
                <c:pt idx="10">
                  <c:v>500</c:v>
                </c:pt>
                <c:pt idx="11">
                  <c:v>571.42857142857144</c:v>
                </c:pt>
              </c:numCache>
            </c:numRef>
          </c:val>
          <c:extLst>
            <c:ext xmlns:c16="http://schemas.microsoft.com/office/drawing/2014/chart" uri="{C3380CC4-5D6E-409C-BE32-E72D297353CC}">
              <c16:uniqueId val="{00000000-1257-4389-823B-8E0958D01DFF}"/>
            </c:ext>
          </c:extLst>
        </c:ser>
        <c:dLbls>
          <c:showLegendKey val="0"/>
          <c:showVal val="0"/>
          <c:showCatName val="0"/>
          <c:showSerName val="0"/>
          <c:showPercent val="0"/>
          <c:showBubbleSize val="0"/>
        </c:dLbls>
        <c:gapWidth val="150"/>
        <c:shape val="box"/>
        <c:axId val="1436238255"/>
        <c:axId val="1436242095"/>
        <c:axId val="0"/>
      </c:bar3DChart>
      <c:catAx>
        <c:axId val="143623825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36242095"/>
        <c:crosses val="autoZero"/>
        <c:auto val="1"/>
        <c:lblAlgn val="ctr"/>
        <c:lblOffset val="100"/>
        <c:noMultiLvlLbl val="0"/>
      </c:catAx>
      <c:valAx>
        <c:axId val="14362420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3623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38100</xdr:colOff>
      <xdr:row>9</xdr:row>
      <xdr:rowOff>44840</xdr:rowOff>
    </xdr:from>
    <xdr:to>
      <xdr:col>10</xdr:col>
      <xdr:colOff>594212</xdr:colOff>
      <xdr:row>11</xdr:row>
      <xdr:rowOff>73415</xdr:rowOff>
    </xdr:to>
    <xdr:grpSp>
      <xdr:nvGrpSpPr>
        <xdr:cNvPr id="28" name="Agrupar 27">
          <a:extLst>
            <a:ext uri="{FF2B5EF4-FFF2-40B4-BE49-F238E27FC236}">
              <a16:creationId xmlns:a16="http://schemas.microsoft.com/office/drawing/2014/main" id="{576EFE47-F733-0835-EDF5-2ABACCFFF50C}"/>
            </a:ext>
          </a:extLst>
        </xdr:cNvPr>
        <xdr:cNvGrpSpPr/>
      </xdr:nvGrpSpPr>
      <xdr:grpSpPr>
        <a:xfrm>
          <a:off x="3086100" y="1625990"/>
          <a:ext cx="3604112" cy="409575"/>
          <a:chOff x="3086100" y="1606940"/>
          <a:chExt cx="3604112" cy="409575"/>
        </a:xfrm>
      </xdr:grpSpPr>
      <xdr:sp macro="" textlink="">
        <xdr:nvSpPr>
          <xdr:cNvPr id="2" name="Retângulo: Cantos Arredondados 1">
            <a:extLst>
              <a:ext uri="{FF2B5EF4-FFF2-40B4-BE49-F238E27FC236}">
                <a16:creationId xmlns:a16="http://schemas.microsoft.com/office/drawing/2014/main" id="{31874E6F-0BBC-7ABC-298B-FEA3894DE353}"/>
              </a:ext>
            </a:extLst>
          </xdr:cNvPr>
          <xdr:cNvSpPr/>
        </xdr:nvSpPr>
        <xdr:spPr>
          <a:xfrm>
            <a:off x="4324350" y="1609726"/>
            <a:ext cx="1108562" cy="400050"/>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000" b="1">
                <a:solidFill>
                  <a:sysClr val="windowText" lastClr="000000"/>
                </a:solidFill>
              </a:rPr>
              <a:t>IRRELEVANTE</a:t>
            </a:r>
          </a:p>
          <a:p>
            <a:pPr algn="ctr"/>
            <a:r>
              <a:rPr lang="pt-BR" sz="1000" b="0">
                <a:solidFill>
                  <a:sysClr val="windowText" lastClr="000000"/>
                </a:solidFill>
              </a:rPr>
              <a:t>para suas vendas</a:t>
            </a:r>
          </a:p>
        </xdr:txBody>
      </xdr:sp>
      <xdr:sp macro="" textlink="">
        <xdr:nvSpPr>
          <xdr:cNvPr id="3" name="Retângulo: Cantos Arredondados 2">
            <a:extLst>
              <a:ext uri="{FF2B5EF4-FFF2-40B4-BE49-F238E27FC236}">
                <a16:creationId xmlns:a16="http://schemas.microsoft.com/office/drawing/2014/main" id="{A9D24F2D-BEA6-6AE0-49CC-AC52851CF392}"/>
              </a:ext>
            </a:extLst>
          </xdr:cNvPr>
          <xdr:cNvSpPr/>
        </xdr:nvSpPr>
        <xdr:spPr>
          <a:xfrm>
            <a:off x="3086100" y="1606940"/>
            <a:ext cx="1108562" cy="409575"/>
          </a:xfrm>
          <a:prstGeom prst="roundRect">
            <a:avLst/>
          </a:prstGeom>
          <a:solidFill>
            <a:srgbClr val="00FF00"/>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000" b="1">
                <a:solidFill>
                  <a:sysClr val="windowText" lastClr="000000"/>
                </a:solidFill>
              </a:rPr>
              <a:t>IMPORTANTE</a:t>
            </a:r>
          </a:p>
          <a:p>
            <a:pPr algn="ctr"/>
            <a:r>
              <a:rPr lang="pt-BR" sz="1000" b="0">
                <a:solidFill>
                  <a:sysClr val="windowText" lastClr="000000"/>
                </a:solidFill>
              </a:rPr>
              <a:t>para suas vendas</a:t>
            </a:r>
          </a:p>
        </xdr:txBody>
      </xdr:sp>
      <xdr:sp macro="" textlink="">
        <xdr:nvSpPr>
          <xdr:cNvPr id="4" name="Retângulo: Cantos Arredondados 3">
            <a:extLst>
              <a:ext uri="{FF2B5EF4-FFF2-40B4-BE49-F238E27FC236}">
                <a16:creationId xmlns:a16="http://schemas.microsoft.com/office/drawing/2014/main" id="{C364D8F8-6432-F2F9-2F50-ADE6808869B0}"/>
              </a:ext>
            </a:extLst>
          </xdr:cNvPr>
          <xdr:cNvSpPr/>
        </xdr:nvSpPr>
        <xdr:spPr>
          <a:xfrm>
            <a:off x="5581650" y="1623206"/>
            <a:ext cx="1108562" cy="386570"/>
          </a:xfrm>
          <a:prstGeom prst="roundRect">
            <a:avLst/>
          </a:prstGeom>
          <a:solidFill>
            <a:srgbClr val="FF0000"/>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000" b="1">
                <a:solidFill>
                  <a:sysClr val="windowText" lastClr="000000"/>
                </a:solidFill>
              </a:rPr>
              <a:t>PREJUDICA</a:t>
            </a:r>
          </a:p>
          <a:p>
            <a:pPr algn="ctr"/>
            <a:r>
              <a:rPr lang="pt-BR" sz="1000" b="0">
                <a:solidFill>
                  <a:sysClr val="windowText" lastClr="000000"/>
                </a:solidFill>
              </a:rPr>
              <a:t>suas vendas</a:t>
            </a:r>
          </a:p>
        </xdr:txBody>
      </xdr:sp>
    </xdr:grpSp>
    <xdr:clientData/>
  </xdr:twoCellAnchor>
  <xdr:twoCellAnchor>
    <xdr:from>
      <xdr:col>5</xdr:col>
      <xdr:colOff>114300</xdr:colOff>
      <xdr:row>6</xdr:row>
      <xdr:rowOff>16266</xdr:rowOff>
    </xdr:from>
    <xdr:to>
      <xdr:col>10</xdr:col>
      <xdr:colOff>495300</xdr:colOff>
      <xdr:row>8</xdr:row>
      <xdr:rowOff>152400</xdr:rowOff>
    </xdr:to>
    <xdr:grpSp>
      <xdr:nvGrpSpPr>
        <xdr:cNvPr id="27" name="Agrupar 26">
          <a:extLst>
            <a:ext uri="{FF2B5EF4-FFF2-40B4-BE49-F238E27FC236}">
              <a16:creationId xmlns:a16="http://schemas.microsoft.com/office/drawing/2014/main" id="{8CE0ADC3-A593-85B4-46F3-FDAF84045328}"/>
            </a:ext>
          </a:extLst>
        </xdr:cNvPr>
        <xdr:cNvGrpSpPr/>
      </xdr:nvGrpSpPr>
      <xdr:grpSpPr>
        <a:xfrm>
          <a:off x="3162300" y="1025916"/>
          <a:ext cx="3429000" cy="517134"/>
          <a:chOff x="3162300" y="997341"/>
          <a:chExt cx="3429000" cy="517134"/>
        </a:xfrm>
      </xdr:grpSpPr>
      <xdr:grpSp>
        <xdr:nvGrpSpPr>
          <xdr:cNvPr id="13" name="Agrupar 12">
            <a:extLst>
              <a:ext uri="{FF2B5EF4-FFF2-40B4-BE49-F238E27FC236}">
                <a16:creationId xmlns:a16="http://schemas.microsoft.com/office/drawing/2014/main" id="{26C8461E-AA21-3570-2E55-69C373AB9AD4}"/>
              </a:ext>
            </a:extLst>
          </xdr:cNvPr>
          <xdr:cNvGrpSpPr/>
        </xdr:nvGrpSpPr>
        <xdr:grpSpPr>
          <a:xfrm>
            <a:off x="4914900" y="1283091"/>
            <a:ext cx="1676400" cy="221859"/>
            <a:chOff x="5762625" y="2616591"/>
            <a:chExt cx="1676400" cy="221859"/>
          </a:xfrm>
        </xdr:grpSpPr>
        <xdr:sp macro="" textlink="">
          <xdr:nvSpPr>
            <xdr:cNvPr id="9" name="Retângulo: Cantos Arredondados 8">
              <a:extLst>
                <a:ext uri="{FF2B5EF4-FFF2-40B4-BE49-F238E27FC236}">
                  <a16:creationId xmlns:a16="http://schemas.microsoft.com/office/drawing/2014/main" id="{66E441CA-C8E2-4118-BA45-392AB53D708E}"/>
                </a:ext>
              </a:extLst>
            </xdr:cNvPr>
            <xdr:cNvSpPr/>
          </xdr:nvSpPr>
          <xdr:spPr>
            <a:xfrm>
              <a:off x="5762625" y="2626116"/>
              <a:ext cx="514350" cy="212334"/>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100" b="1">
                  <a:solidFill>
                    <a:sysClr val="windowText" lastClr="000000"/>
                  </a:solidFill>
                </a:rPr>
                <a:t>OUT</a:t>
              </a:r>
            </a:p>
          </xdr:txBody>
        </xdr:sp>
        <xdr:sp macro="" textlink="">
          <xdr:nvSpPr>
            <xdr:cNvPr id="10" name="Retângulo: Cantos Arredondados 9">
              <a:extLst>
                <a:ext uri="{FF2B5EF4-FFF2-40B4-BE49-F238E27FC236}">
                  <a16:creationId xmlns:a16="http://schemas.microsoft.com/office/drawing/2014/main" id="{0C281C3B-CC3E-4C8D-AD37-55EA646D765E}"/>
                </a:ext>
              </a:extLst>
            </xdr:cNvPr>
            <xdr:cNvSpPr/>
          </xdr:nvSpPr>
          <xdr:spPr>
            <a:xfrm>
              <a:off x="6343650" y="2616591"/>
              <a:ext cx="514350" cy="212334"/>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100" b="1">
                  <a:solidFill>
                    <a:sysClr val="windowText" lastClr="000000"/>
                  </a:solidFill>
                </a:rPr>
                <a:t>NOV</a:t>
              </a:r>
            </a:p>
          </xdr:txBody>
        </xdr:sp>
        <xdr:sp macro="" textlink="">
          <xdr:nvSpPr>
            <xdr:cNvPr id="11" name="Retângulo: Cantos Arredondados 10">
              <a:extLst>
                <a:ext uri="{FF2B5EF4-FFF2-40B4-BE49-F238E27FC236}">
                  <a16:creationId xmlns:a16="http://schemas.microsoft.com/office/drawing/2014/main" id="{A9E696A0-0C25-4526-AA4E-DCE89D6A4110}"/>
                </a:ext>
              </a:extLst>
            </xdr:cNvPr>
            <xdr:cNvSpPr/>
          </xdr:nvSpPr>
          <xdr:spPr>
            <a:xfrm>
              <a:off x="6924675" y="2616591"/>
              <a:ext cx="514350" cy="212334"/>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100" b="1">
                  <a:solidFill>
                    <a:sysClr val="windowText" lastClr="000000"/>
                  </a:solidFill>
                </a:rPr>
                <a:t>DEZ</a:t>
              </a:r>
            </a:p>
          </xdr:txBody>
        </xdr:sp>
      </xdr:grpSp>
      <xdr:grpSp>
        <xdr:nvGrpSpPr>
          <xdr:cNvPr id="14" name="Agrupar 13">
            <a:extLst>
              <a:ext uri="{FF2B5EF4-FFF2-40B4-BE49-F238E27FC236}">
                <a16:creationId xmlns:a16="http://schemas.microsoft.com/office/drawing/2014/main" id="{84F82AA3-5AA5-47D0-9EEF-D4691090150A}"/>
              </a:ext>
            </a:extLst>
          </xdr:cNvPr>
          <xdr:cNvGrpSpPr/>
        </xdr:nvGrpSpPr>
        <xdr:grpSpPr>
          <a:xfrm>
            <a:off x="3162300" y="1292616"/>
            <a:ext cx="1676400" cy="221859"/>
            <a:chOff x="5762625" y="2616591"/>
            <a:chExt cx="1676400" cy="221859"/>
          </a:xfrm>
        </xdr:grpSpPr>
        <xdr:sp macro="" textlink="">
          <xdr:nvSpPr>
            <xdr:cNvPr id="15" name="Retângulo: Cantos Arredondados 14">
              <a:extLst>
                <a:ext uri="{FF2B5EF4-FFF2-40B4-BE49-F238E27FC236}">
                  <a16:creationId xmlns:a16="http://schemas.microsoft.com/office/drawing/2014/main" id="{19CD5A42-5724-0F8E-36A3-DDC9DA46BE5B}"/>
                </a:ext>
              </a:extLst>
            </xdr:cNvPr>
            <xdr:cNvSpPr/>
          </xdr:nvSpPr>
          <xdr:spPr>
            <a:xfrm>
              <a:off x="5762625" y="2626116"/>
              <a:ext cx="514350" cy="212334"/>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100" b="1">
                  <a:solidFill>
                    <a:sysClr val="windowText" lastClr="000000"/>
                  </a:solidFill>
                </a:rPr>
                <a:t>JUL</a:t>
              </a:r>
            </a:p>
          </xdr:txBody>
        </xdr:sp>
        <xdr:sp macro="" textlink="">
          <xdr:nvSpPr>
            <xdr:cNvPr id="16" name="Retângulo: Cantos Arredondados 15">
              <a:extLst>
                <a:ext uri="{FF2B5EF4-FFF2-40B4-BE49-F238E27FC236}">
                  <a16:creationId xmlns:a16="http://schemas.microsoft.com/office/drawing/2014/main" id="{B9556EA8-88BE-DE92-0201-1AD0CBD3E62A}"/>
                </a:ext>
              </a:extLst>
            </xdr:cNvPr>
            <xdr:cNvSpPr/>
          </xdr:nvSpPr>
          <xdr:spPr>
            <a:xfrm>
              <a:off x="6343650" y="2616591"/>
              <a:ext cx="514350" cy="212334"/>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100" b="1">
                  <a:solidFill>
                    <a:sysClr val="windowText" lastClr="000000"/>
                  </a:solidFill>
                </a:rPr>
                <a:t>AGO</a:t>
              </a:r>
            </a:p>
          </xdr:txBody>
        </xdr:sp>
        <xdr:sp macro="" textlink="">
          <xdr:nvSpPr>
            <xdr:cNvPr id="17" name="Retângulo: Cantos Arredondados 16">
              <a:extLst>
                <a:ext uri="{FF2B5EF4-FFF2-40B4-BE49-F238E27FC236}">
                  <a16:creationId xmlns:a16="http://schemas.microsoft.com/office/drawing/2014/main" id="{AA29547E-0D2A-AD32-B112-E72E6CC6C5EB}"/>
                </a:ext>
              </a:extLst>
            </xdr:cNvPr>
            <xdr:cNvSpPr/>
          </xdr:nvSpPr>
          <xdr:spPr>
            <a:xfrm>
              <a:off x="6924675" y="2616591"/>
              <a:ext cx="514350" cy="212334"/>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100" b="1">
                  <a:solidFill>
                    <a:sysClr val="windowText" lastClr="000000"/>
                  </a:solidFill>
                </a:rPr>
                <a:t>SET</a:t>
              </a:r>
            </a:p>
          </xdr:txBody>
        </xdr:sp>
      </xdr:grpSp>
      <xdr:grpSp>
        <xdr:nvGrpSpPr>
          <xdr:cNvPr id="18" name="Agrupar 17">
            <a:extLst>
              <a:ext uri="{FF2B5EF4-FFF2-40B4-BE49-F238E27FC236}">
                <a16:creationId xmlns:a16="http://schemas.microsoft.com/office/drawing/2014/main" id="{59AF504B-352A-454B-BDAE-03E844D2446A}"/>
              </a:ext>
            </a:extLst>
          </xdr:cNvPr>
          <xdr:cNvGrpSpPr/>
        </xdr:nvGrpSpPr>
        <xdr:grpSpPr>
          <a:xfrm>
            <a:off x="4905375" y="997341"/>
            <a:ext cx="1676400" cy="221859"/>
            <a:chOff x="5762625" y="2616591"/>
            <a:chExt cx="1676400" cy="221859"/>
          </a:xfrm>
        </xdr:grpSpPr>
        <xdr:sp macro="" textlink="">
          <xdr:nvSpPr>
            <xdr:cNvPr id="19" name="Retângulo: Cantos Arredondados 18">
              <a:extLst>
                <a:ext uri="{FF2B5EF4-FFF2-40B4-BE49-F238E27FC236}">
                  <a16:creationId xmlns:a16="http://schemas.microsoft.com/office/drawing/2014/main" id="{FE52D92C-415D-F449-D599-7649ED8D0BE7}"/>
                </a:ext>
              </a:extLst>
            </xdr:cNvPr>
            <xdr:cNvSpPr/>
          </xdr:nvSpPr>
          <xdr:spPr>
            <a:xfrm>
              <a:off x="5762625" y="2626116"/>
              <a:ext cx="514350" cy="212334"/>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100" b="1">
                  <a:solidFill>
                    <a:sysClr val="windowText" lastClr="000000"/>
                  </a:solidFill>
                </a:rPr>
                <a:t>ABR</a:t>
              </a:r>
            </a:p>
          </xdr:txBody>
        </xdr:sp>
        <xdr:sp macro="" textlink="">
          <xdr:nvSpPr>
            <xdr:cNvPr id="20" name="Retângulo: Cantos Arredondados 19">
              <a:extLst>
                <a:ext uri="{FF2B5EF4-FFF2-40B4-BE49-F238E27FC236}">
                  <a16:creationId xmlns:a16="http://schemas.microsoft.com/office/drawing/2014/main" id="{52E6B47C-3DF2-98D0-5F0F-BA934376C62B}"/>
                </a:ext>
              </a:extLst>
            </xdr:cNvPr>
            <xdr:cNvSpPr/>
          </xdr:nvSpPr>
          <xdr:spPr>
            <a:xfrm>
              <a:off x="6343650" y="2616591"/>
              <a:ext cx="514350" cy="212334"/>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100" b="1">
                  <a:solidFill>
                    <a:sysClr val="windowText" lastClr="000000"/>
                  </a:solidFill>
                </a:rPr>
                <a:t>MAI</a:t>
              </a:r>
            </a:p>
          </xdr:txBody>
        </xdr:sp>
        <xdr:sp macro="" textlink="">
          <xdr:nvSpPr>
            <xdr:cNvPr id="21" name="Retângulo: Cantos Arredondados 20">
              <a:extLst>
                <a:ext uri="{FF2B5EF4-FFF2-40B4-BE49-F238E27FC236}">
                  <a16:creationId xmlns:a16="http://schemas.microsoft.com/office/drawing/2014/main" id="{E7D5D6A8-BC89-399C-EC4E-3D9D1A4CA932}"/>
                </a:ext>
              </a:extLst>
            </xdr:cNvPr>
            <xdr:cNvSpPr/>
          </xdr:nvSpPr>
          <xdr:spPr>
            <a:xfrm>
              <a:off x="6924675" y="2616591"/>
              <a:ext cx="514350" cy="212334"/>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100" b="1">
                  <a:solidFill>
                    <a:sysClr val="windowText" lastClr="000000"/>
                  </a:solidFill>
                </a:rPr>
                <a:t>JUN</a:t>
              </a:r>
            </a:p>
          </xdr:txBody>
        </xdr:sp>
      </xdr:grpSp>
      <xdr:grpSp>
        <xdr:nvGrpSpPr>
          <xdr:cNvPr id="22" name="Agrupar 21">
            <a:extLst>
              <a:ext uri="{FF2B5EF4-FFF2-40B4-BE49-F238E27FC236}">
                <a16:creationId xmlns:a16="http://schemas.microsoft.com/office/drawing/2014/main" id="{3DF41F52-34DC-4922-9282-6D6D742FC13F}"/>
              </a:ext>
            </a:extLst>
          </xdr:cNvPr>
          <xdr:cNvGrpSpPr/>
        </xdr:nvGrpSpPr>
        <xdr:grpSpPr>
          <a:xfrm>
            <a:off x="3162300" y="1006866"/>
            <a:ext cx="1676400" cy="221859"/>
            <a:chOff x="5762625" y="2616591"/>
            <a:chExt cx="1676400" cy="221859"/>
          </a:xfrm>
        </xdr:grpSpPr>
        <xdr:sp macro="" textlink="">
          <xdr:nvSpPr>
            <xdr:cNvPr id="23" name="Retângulo: Cantos Arredondados 22">
              <a:extLst>
                <a:ext uri="{FF2B5EF4-FFF2-40B4-BE49-F238E27FC236}">
                  <a16:creationId xmlns:a16="http://schemas.microsoft.com/office/drawing/2014/main" id="{012F720D-5E6D-B507-2B2F-5DE6C5D0671D}"/>
                </a:ext>
              </a:extLst>
            </xdr:cNvPr>
            <xdr:cNvSpPr/>
          </xdr:nvSpPr>
          <xdr:spPr>
            <a:xfrm>
              <a:off x="5762625" y="2626116"/>
              <a:ext cx="514350" cy="212334"/>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100" b="1">
                  <a:solidFill>
                    <a:sysClr val="windowText" lastClr="000000"/>
                  </a:solidFill>
                </a:rPr>
                <a:t>JAN</a:t>
              </a:r>
            </a:p>
          </xdr:txBody>
        </xdr:sp>
        <xdr:sp macro="" textlink="">
          <xdr:nvSpPr>
            <xdr:cNvPr id="24" name="Retângulo: Cantos Arredondados 23">
              <a:extLst>
                <a:ext uri="{FF2B5EF4-FFF2-40B4-BE49-F238E27FC236}">
                  <a16:creationId xmlns:a16="http://schemas.microsoft.com/office/drawing/2014/main" id="{A08888BD-BCD4-42BC-B514-DC6DC9778127}"/>
                </a:ext>
              </a:extLst>
            </xdr:cNvPr>
            <xdr:cNvSpPr/>
          </xdr:nvSpPr>
          <xdr:spPr>
            <a:xfrm>
              <a:off x="6343650" y="2616591"/>
              <a:ext cx="514350" cy="212334"/>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100" b="1">
                  <a:solidFill>
                    <a:sysClr val="windowText" lastClr="000000"/>
                  </a:solidFill>
                </a:rPr>
                <a:t>FEV</a:t>
              </a:r>
            </a:p>
          </xdr:txBody>
        </xdr:sp>
        <xdr:sp macro="" textlink="">
          <xdr:nvSpPr>
            <xdr:cNvPr id="25" name="Retângulo: Cantos Arredondados 24">
              <a:extLst>
                <a:ext uri="{FF2B5EF4-FFF2-40B4-BE49-F238E27FC236}">
                  <a16:creationId xmlns:a16="http://schemas.microsoft.com/office/drawing/2014/main" id="{F1C62428-4A9B-CD57-E0F6-63335CD837FF}"/>
                </a:ext>
              </a:extLst>
            </xdr:cNvPr>
            <xdr:cNvSpPr/>
          </xdr:nvSpPr>
          <xdr:spPr>
            <a:xfrm>
              <a:off x="6924675" y="2616591"/>
              <a:ext cx="514350" cy="212334"/>
            </a:xfrm>
            <a:prstGeom prst="roundRect">
              <a:avLst/>
            </a:prstGeom>
            <a:solidFill>
              <a:schemeClr val="bg2"/>
            </a:solidFill>
            <a:ln w="28575">
              <a:solidFill>
                <a:schemeClr val="tx1">
                  <a:lumMod val="50000"/>
                  <a:lumOff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pt-BR" sz="1100" b="1">
                  <a:solidFill>
                    <a:sysClr val="windowText" lastClr="000000"/>
                  </a:solidFill>
                </a:rPr>
                <a:t>MAR</a:t>
              </a:r>
            </a:p>
          </xdr:txBody>
        </xdr:sp>
      </xdr:grpSp>
    </xdr:grpSp>
    <xdr:clientData/>
  </xdr:twoCellAnchor>
  <xdr:twoCellAnchor>
    <xdr:from>
      <xdr:col>5</xdr:col>
      <xdr:colOff>0</xdr:colOff>
      <xdr:row>24</xdr:row>
      <xdr:rowOff>0</xdr:rowOff>
    </xdr:from>
    <xdr:to>
      <xdr:col>12</xdr:col>
      <xdr:colOff>304800</xdr:colOff>
      <xdr:row>38</xdr:row>
      <xdr:rowOff>76200</xdr:rowOff>
    </xdr:to>
    <xdr:graphicFrame macro="">
      <xdr:nvGraphicFramePr>
        <xdr:cNvPr id="29" name="Gráfico 28">
          <a:extLst>
            <a:ext uri="{FF2B5EF4-FFF2-40B4-BE49-F238E27FC236}">
              <a16:creationId xmlns:a16="http://schemas.microsoft.com/office/drawing/2014/main" id="{58F72A64-95B4-4D91-9580-FBC9DE83F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257174</xdr:colOff>
      <xdr:row>6</xdr:row>
      <xdr:rowOff>19050</xdr:rowOff>
    </xdr:from>
    <xdr:to>
      <xdr:col>3</xdr:col>
      <xdr:colOff>285749</xdr:colOff>
      <xdr:row>11</xdr:row>
      <xdr:rowOff>114300</xdr:rowOff>
    </xdr:to>
    <xdr:sp macro="" textlink="">
      <xdr:nvSpPr>
        <xdr:cNvPr id="2" name="Balão de Fala: Retângulo 1">
          <a:extLst>
            <a:ext uri="{FF2B5EF4-FFF2-40B4-BE49-F238E27FC236}">
              <a16:creationId xmlns:a16="http://schemas.microsoft.com/office/drawing/2014/main" id="{8B7DC9CA-C49E-40C4-9EBD-A7DAE3E6181D}"/>
            </a:ext>
          </a:extLst>
        </xdr:cNvPr>
        <xdr:cNvSpPr/>
      </xdr:nvSpPr>
      <xdr:spPr>
        <a:xfrm>
          <a:off x="257174" y="1181100"/>
          <a:ext cx="1857375" cy="1047750"/>
        </a:xfrm>
        <a:prstGeom prst="wedgeRectCallout">
          <a:avLst>
            <a:gd name="adj1" fmla="val 63499"/>
            <a:gd name="adj2" fmla="val 20228"/>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000">
              <a:solidFill>
                <a:sysClr val="windowText" lastClr="000000"/>
              </a:solidFill>
            </a:rPr>
            <a:t>ANO E MÊS</a:t>
          </a:r>
        </a:p>
        <a:p>
          <a:pPr algn="l"/>
          <a:r>
            <a:rPr lang="pt-BR" sz="1000">
              <a:solidFill>
                <a:sysClr val="windowText" lastClr="000000"/>
              </a:solidFill>
            </a:rPr>
            <a:t>A primeira linha será sempre a do primeiro ano/mês informado nos Dados Básicos. O programa acrescenta as linhas dos 11 meses seguintes</a:t>
          </a:r>
        </a:p>
      </xdr:txBody>
    </xdr:sp>
    <xdr:clientData/>
  </xdr:twoCellAnchor>
  <xdr:twoCellAnchor>
    <xdr:from>
      <xdr:col>3</xdr:col>
      <xdr:colOff>66675</xdr:colOff>
      <xdr:row>23</xdr:row>
      <xdr:rowOff>95250</xdr:rowOff>
    </xdr:from>
    <xdr:to>
      <xdr:col>4</xdr:col>
      <xdr:colOff>609599</xdr:colOff>
      <xdr:row>28</xdr:row>
      <xdr:rowOff>0</xdr:rowOff>
    </xdr:to>
    <xdr:sp macro="" textlink="">
      <xdr:nvSpPr>
        <xdr:cNvPr id="7" name="Balão de Fala: Retângulo 6">
          <a:extLst>
            <a:ext uri="{FF2B5EF4-FFF2-40B4-BE49-F238E27FC236}">
              <a16:creationId xmlns:a16="http://schemas.microsoft.com/office/drawing/2014/main" id="{FC74A313-1670-49A8-B151-59E149A263E1}"/>
            </a:ext>
          </a:extLst>
        </xdr:cNvPr>
        <xdr:cNvSpPr/>
      </xdr:nvSpPr>
      <xdr:spPr>
        <a:xfrm>
          <a:off x="1895475" y="4505325"/>
          <a:ext cx="1152524" cy="866775"/>
        </a:xfrm>
        <a:prstGeom prst="wedgeRectCallout">
          <a:avLst>
            <a:gd name="adj1" fmla="val 109780"/>
            <a:gd name="adj2" fmla="val -43508"/>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000">
              <a:solidFill>
                <a:sysClr val="windowText" lastClr="000000"/>
              </a:solidFill>
            </a:rPr>
            <a:t>Controle</a:t>
          </a:r>
          <a:r>
            <a:rPr lang="pt-BR" sz="1000" baseline="0">
              <a:solidFill>
                <a:sysClr val="windowText" lastClr="000000"/>
              </a:solidFill>
            </a:rPr>
            <a:t> para verificar se o usuário atribiu nota para os 12 meses.</a:t>
          </a:r>
          <a:endParaRPr lang="pt-BR" sz="1000">
            <a:solidFill>
              <a:sysClr val="windowText" lastClr="000000"/>
            </a:solidFill>
          </a:endParaRPr>
        </a:p>
      </xdr:txBody>
    </xdr:sp>
    <xdr:clientData/>
  </xdr:twoCellAnchor>
  <xdr:twoCellAnchor>
    <xdr:from>
      <xdr:col>6</xdr:col>
      <xdr:colOff>228600</xdr:colOff>
      <xdr:row>24</xdr:row>
      <xdr:rowOff>123825</xdr:rowOff>
    </xdr:from>
    <xdr:to>
      <xdr:col>7</xdr:col>
      <xdr:colOff>676274</xdr:colOff>
      <xdr:row>27</xdr:row>
      <xdr:rowOff>180975</xdr:rowOff>
    </xdr:to>
    <xdr:sp macro="" textlink="">
      <xdr:nvSpPr>
        <xdr:cNvPr id="8" name="Balão de Fala: Retângulo 7">
          <a:extLst>
            <a:ext uri="{FF2B5EF4-FFF2-40B4-BE49-F238E27FC236}">
              <a16:creationId xmlns:a16="http://schemas.microsoft.com/office/drawing/2014/main" id="{20087C82-C99C-41D9-ADA4-F8589315876A}"/>
            </a:ext>
          </a:extLst>
        </xdr:cNvPr>
        <xdr:cNvSpPr/>
      </xdr:nvSpPr>
      <xdr:spPr>
        <a:xfrm>
          <a:off x="3886200" y="4733925"/>
          <a:ext cx="1152524" cy="628650"/>
        </a:xfrm>
        <a:prstGeom prst="wedgeRectCallout">
          <a:avLst>
            <a:gd name="adj1" fmla="val 90772"/>
            <a:gd name="adj2" fmla="val -76841"/>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000">
              <a:solidFill>
                <a:sysClr val="windowText" lastClr="000000"/>
              </a:solidFill>
            </a:rPr>
            <a:t>sOMA DAS VENDAS DOS 12 MESES</a:t>
          </a:r>
        </a:p>
      </xdr:txBody>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806DB-3BE7-41E0-97B5-654958D29E9B}">
  <dimension ref="C2:AC29"/>
  <sheetViews>
    <sheetView topLeftCell="A19" workbookViewId="0">
      <selection activeCell="S22" sqref="S22"/>
    </sheetView>
  </sheetViews>
  <sheetFormatPr defaultRowHeight="15" x14ac:dyDescent="0.25"/>
  <sheetData>
    <row r="2" spans="3:29" x14ac:dyDescent="0.25">
      <c r="C2" s="56" t="s">
        <v>47</v>
      </c>
      <c r="D2" s="56"/>
      <c r="E2" s="56"/>
      <c r="F2" s="56"/>
      <c r="G2" s="56"/>
      <c r="H2" s="56"/>
      <c r="I2" s="56"/>
      <c r="J2" s="56"/>
      <c r="K2" s="56"/>
      <c r="L2" s="56"/>
      <c r="M2" s="56"/>
      <c r="N2" s="56"/>
    </row>
    <row r="3" spans="3:29" x14ac:dyDescent="0.25">
      <c r="F3" s="74" t="s">
        <v>49</v>
      </c>
    </row>
    <row r="4" spans="3:29" x14ac:dyDescent="0.25">
      <c r="F4" s="71" t="s">
        <v>48</v>
      </c>
      <c r="G4" s="72"/>
      <c r="H4" s="72"/>
      <c r="I4" s="72"/>
      <c r="J4" s="72"/>
      <c r="K4" s="73"/>
      <c r="L4" s="84" t="s">
        <v>55</v>
      </c>
      <c r="M4" s="85"/>
      <c r="N4" s="85"/>
      <c r="O4" s="85"/>
      <c r="P4" s="85"/>
      <c r="Q4" s="85"/>
      <c r="R4" s="85"/>
      <c r="S4" s="75"/>
      <c r="T4" s="75"/>
    </row>
    <row r="5" spans="3:29" ht="4.5" customHeight="1" x14ac:dyDescent="0.25"/>
    <row r="6" spans="3:29" ht="15" customHeight="1" x14ac:dyDescent="0.25">
      <c r="F6" s="58" t="s">
        <v>44</v>
      </c>
      <c r="G6" s="58"/>
      <c r="H6" s="58"/>
      <c r="I6" s="58"/>
      <c r="J6" s="58"/>
      <c r="K6" s="58"/>
    </row>
    <row r="7" spans="3:29" x14ac:dyDescent="0.25">
      <c r="F7" s="57"/>
      <c r="G7" s="57"/>
      <c r="H7" s="57"/>
      <c r="I7" s="57"/>
      <c r="J7" s="57"/>
      <c r="K7" s="57"/>
    </row>
    <row r="10" spans="3:29" x14ac:dyDescent="0.25">
      <c r="H10" s="33"/>
      <c r="I10" s="33"/>
      <c r="L10" s="76" t="s">
        <v>56</v>
      </c>
      <c r="M10" s="76"/>
      <c r="N10" s="76"/>
      <c r="O10" s="76"/>
      <c r="P10" s="76"/>
      <c r="Q10" s="76"/>
    </row>
    <row r="11" spans="3:29" x14ac:dyDescent="0.25">
      <c r="L11" s="76"/>
      <c r="M11" s="76"/>
      <c r="N11" s="76"/>
      <c r="O11" s="76"/>
      <c r="P11" s="76"/>
      <c r="Q11" s="76"/>
    </row>
    <row r="13" spans="3:29" x14ac:dyDescent="0.25">
      <c r="F13" s="76" t="s">
        <v>50</v>
      </c>
      <c r="G13" s="76"/>
      <c r="H13" s="76"/>
      <c r="I13" s="76"/>
      <c r="J13" s="76"/>
      <c r="K13" s="76"/>
      <c r="L13" s="76"/>
      <c r="M13" s="76"/>
      <c r="N13" s="76"/>
      <c r="O13" s="76"/>
      <c r="P13" s="76"/>
      <c r="Q13" s="76"/>
    </row>
    <row r="14" spans="3:29" x14ac:dyDescent="0.25">
      <c r="F14" s="76"/>
      <c r="G14" s="76"/>
      <c r="H14" s="76"/>
      <c r="I14" s="76"/>
      <c r="J14" s="76"/>
      <c r="K14" s="76"/>
      <c r="L14" s="76"/>
      <c r="M14" s="76"/>
      <c r="N14" s="76"/>
      <c r="O14" s="76"/>
      <c r="P14" s="76"/>
      <c r="Q14" s="76"/>
    </row>
    <row r="15" spans="3:29" x14ac:dyDescent="0.25">
      <c r="F15" s="65" t="s">
        <v>45</v>
      </c>
      <c r="G15" s="65"/>
      <c r="H15" s="65"/>
      <c r="I15" s="65"/>
      <c r="J15" s="65"/>
      <c r="K15" s="65"/>
    </row>
    <row r="16" spans="3:29" x14ac:dyDescent="0.25">
      <c r="D16" s="64"/>
      <c r="E16" s="64"/>
      <c r="F16" s="65"/>
      <c r="G16" s="65"/>
      <c r="H16" s="65"/>
      <c r="I16" s="65"/>
      <c r="J16" s="65"/>
      <c r="K16" s="65"/>
      <c r="L16" s="64"/>
      <c r="M16" s="64"/>
      <c r="N16" s="64"/>
      <c r="O16" s="64"/>
      <c r="P16" s="64"/>
      <c r="Q16" s="64"/>
      <c r="R16" s="64"/>
      <c r="S16" s="64"/>
      <c r="T16" s="64"/>
      <c r="U16" s="64"/>
      <c r="V16" s="64"/>
      <c r="W16" s="64"/>
      <c r="X16" s="64"/>
      <c r="Y16" s="64"/>
      <c r="Z16" s="64"/>
      <c r="AA16" s="64"/>
      <c r="AB16" s="64"/>
      <c r="AC16" s="64"/>
    </row>
    <row r="17" spans="3:29" s="63" customFormat="1" x14ac:dyDescent="0.25">
      <c r="C17" s="59"/>
      <c r="D17" s="60"/>
      <c r="E17" s="61"/>
      <c r="H17" s="67" t="s">
        <v>46</v>
      </c>
      <c r="I17" s="66"/>
      <c r="J17" s="62"/>
      <c r="K17" s="59"/>
      <c r="L17" s="62"/>
      <c r="M17" s="59"/>
      <c r="N17" s="62"/>
      <c r="O17" s="59"/>
      <c r="P17" s="62"/>
      <c r="Q17" s="59"/>
      <c r="R17" s="62"/>
      <c r="S17" s="59"/>
      <c r="T17" s="62"/>
      <c r="U17" s="59"/>
      <c r="V17" s="62"/>
      <c r="W17" s="59"/>
      <c r="X17" s="62"/>
      <c r="Y17" s="59"/>
      <c r="Z17" s="62"/>
      <c r="AA17" s="59"/>
      <c r="AB17" s="62"/>
      <c r="AC17" s="59"/>
    </row>
    <row r="18" spans="3:29" ht="15" customHeight="1" x14ac:dyDescent="0.25">
      <c r="F18" s="69" t="s">
        <v>51</v>
      </c>
      <c r="G18" s="69"/>
      <c r="H18" s="69"/>
      <c r="I18" s="69"/>
      <c r="J18" s="69"/>
      <c r="K18" s="69"/>
      <c r="L18" s="69"/>
      <c r="M18" s="69"/>
      <c r="N18" s="69"/>
      <c r="O18" s="69"/>
      <c r="P18" s="69"/>
      <c r="Q18" s="69"/>
    </row>
    <row r="19" spans="3:29" x14ac:dyDescent="0.25">
      <c r="F19" s="69"/>
      <c r="G19" s="69"/>
      <c r="H19" s="69"/>
      <c r="I19" s="69"/>
      <c r="J19" s="69"/>
      <c r="K19" s="69"/>
      <c r="L19" s="69"/>
      <c r="M19" s="69"/>
      <c r="N19" s="69"/>
      <c r="O19" s="69"/>
      <c r="P19" s="69"/>
      <c r="Q19" s="69"/>
    </row>
    <row r="20" spans="3:29" x14ac:dyDescent="0.25">
      <c r="F20" s="78"/>
      <c r="G20" s="78"/>
      <c r="H20" s="78"/>
      <c r="I20" s="78"/>
      <c r="J20" s="78"/>
    </row>
    <row r="21" spans="3:29" ht="15.75" customHeight="1" thickBot="1" x14ac:dyDescent="0.3">
      <c r="F21" s="80" t="s">
        <v>53</v>
      </c>
      <c r="G21" s="80"/>
      <c r="H21" s="80"/>
      <c r="I21" s="80"/>
      <c r="J21" s="81" t="s">
        <v>52</v>
      </c>
    </row>
    <row r="22" spans="3:29" ht="15.75" thickBot="1" x14ac:dyDescent="0.3">
      <c r="F22" s="82" t="s">
        <v>54</v>
      </c>
      <c r="G22" s="82"/>
      <c r="H22" s="82"/>
      <c r="I22" s="83"/>
      <c r="J22" s="68"/>
      <c r="K22" s="76" t="s">
        <v>74</v>
      </c>
      <c r="L22" s="76"/>
      <c r="M22" s="76"/>
      <c r="N22" s="76"/>
      <c r="O22" s="76"/>
      <c r="P22" s="76"/>
      <c r="Q22" s="76"/>
      <c r="R22" s="79"/>
      <c r="S22" s="79"/>
    </row>
    <row r="23" spans="3:29" x14ac:dyDescent="0.25">
      <c r="K23" s="76"/>
      <c r="L23" s="76"/>
      <c r="M23" s="76"/>
      <c r="N23" s="76"/>
      <c r="O23" s="76"/>
      <c r="P23" s="76"/>
      <c r="Q23" s="76"/>
      <c r="R23" s="79"/>
      <c r="S23" s="79"/>
    </row>
    <row r="26" spans="3:29" x14ac:dyDescent="0.25">
      <c r="O26" s="129" t="s">
        <v>72</v>
      </c>
      <c r="P26" s="129"/>
    </row>
    <row r="27" spans="3:29" ht="15" customHeight="1" x14ac:dyDescent="0.25">
      <c r="F27" s="86"/>
      <c r="G27" s="86"/>
      <c r="H27" s="86"/>
      <c r="I27" s="86"/>
      <c r="J27" s="86"/>
      <c r="K27" s="86"/>
      <c r="O27" s="76" t="s">
        <v>73</v>
      </c>
      <c r="P27" s="76"/>
      <c r="Q27" s="76"/>
      <c r="R27" s="76"/>
      <c r="S27" s="76"/>
    </row>
    <row r="28" spans="3:29" x14ac:dyDescent="0.25">
      <c r="F28" s="86"/>
      <c r="G28" s="86"/>
      <c r="H28" s="86"/>
      <c r="I28" s="86"/>
      <c r="J28" s="86"/>
      <c r="K28" s="86"/>
      <c r="O28" s="76"/>
      <c r="P28" s="76"/>
      <c r="Q28" s="76"/>
      <c r="R28" s="76"/>
      <c r="S28" s="76"/>
    </row>
    <row r="29" spans="3:29" x14ac:dyDescent="0.25">
      <c r="O29" s="76"/>
      <c r="P29" s="76"/>
      <c r="Q29" s="76"/>
      <c r="R29" s="76"/>
      <c r="S29" s="76"/>
    </row>
  </sheetData>
  <mergeCells count="15">
    <mergeCell ref="L4:R4"/>
    <mergeCell ref="K22:Q23"/>
    <mergeCell ref="O26:P26"/>
    <mergeCell ref="O27:S29"/>
    <mergeCell ref="L10:Q11"/>
    <mergeCell ref="F13:Q14"/>
    <mergeCell ref="F18:Q19"/>
    <mergeCell ref="F21:I21"/>
    <mergeCell ref="H17:I17"/>
    <mergeCell ref="F22:I22"/>
    <mergeCell ref="H10:I10"/>
    <mergeCell ref="F6:K6"/>
    <mergeCell ref="F15:K16"/>
    <mergeCell ref="C2:N2"/>
    <mergeCell ref="F4:K4"/>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D4FB4-D79C-439B-A4EF-BE81B36E5130}">
  <dimension ref="B1:BK79"/>
  <sheetViews>
    <sheetView workbookViewId="0">
      <selection activeCell="B70" sqref="B70"/>
    </sheetView>
  </sheetViews>
  <sheetFormatPr defaultRowHeight="15" x14ac:dyDescent="0.25"/>
  <cols>
    <col min="1" max="1" width="6.140625" customWidth="1"/>
    <col min="2" max="2" width="23.140625" customWidth="1"/>
    <col min="3" max="3" width="10.5703125" customWidth="1"/>
    <col min="4" max="4" width="1.140625" customWidth="1"/>
    <col min="6" max="6" width="1.140625" customWidth="1"/>
    <col min="8" max="8" width="1.140625" customWidth="1"/>
    <col min="10" max="10" width="1.140625" customWidth="1"/>
    <col min="12" max="12" width="1.140625" customWidth="1"/>
    <col min="14" max="14" width="1.140625" customWidth="1"/>
    <col min="16" max="16" width="1.140625" customWidth="1"/>
    <col min="18" max="18" width="1.140625" customWidth="1"/>
    <col min="20" max="20" width="1.140625" customWidth="1"/>
    <col min="22" max="22" width="1.140625" customWidth="1"/>
    <col min="24" max="24" width="1.140625" customWidth="1"/>
    <col min="26" max="26" width="1.140625" customWidth="1"/>
    <col min="28" max="28" width="1.140625" customWidth="1"/>
    <col min="30" max="30" width="1.140625" customWidth="1"/>
    <col min="32" max="32" width="1.140625" customWidth="1"/>
  </cols>
  <sheetData>
    <row r="1" spans="2:63" x14ac:dyDescent="0.25">
      <c r="B1" s="9"/>
      <c r="C1" s="10"/>
      <c r="D1" s="6"/>
      <c r="E1" s="10"/>
      <c r="F1" s="10"/>
      <c r="H1" s="6"/>
      <c r="J1" s="6"/>
      <c r="L1" s="6"/>
      <c r="N1" s="6"/>
      <c r="P1" s="6"/>
      <c r="R1" s="6"/>
      <c r="T1" s="6"/>
      <c r="V1" s="6"/>
      <c r="X1" s="6"/>
      <c r="Z1" s="6"/>
      <c r="AB1" s="6"/>
      <c r="AD1" s="6"/>
      <c r="AF1" s="6"/>
    </row>
    <row r="2" spans="2:63" ht="15" customHeight="1" x14ac:dyDescent="0.25">
      <c r="B2" s="44" t="s">
        <v>23</v>
      </c>
      <c r="C2" s="45"/>
      <c r="D2" s="6"/>
      <c r="E2" s="38" t="s">
        <v>0</v>
      </c>
      <c r="F2" s="39"/>
      <c r="G2" s="40"/>
      <c r="H2" s="6"/>
      <c r="I2" s="50" t="s">
        <v>40</v>
      </c>
      <c r="J2" s="51"/>
      <c r="K2" s="51"/>
      <c r="L2" s="51"/>
      <c r="M2" s="51"/>
      <c r="N2" s="51"/>
      <c r="O2" s="51"/>
      <c r="P2" s="51"/>
      <c r="Q2" s="51"/>
      <c r="R2" s="51"/>
      <c r="S2" s="51"/>
      <c r="T2" s="51"/>
      <c r="U2" s="51"/>
      <c r="V2" s="51"/>
      <c r="W2" s="51"/>
      <c r="X2" s="51"/>
      <c r="Y2" s="51"/>
      <c r="Z2" s="51"/>
      <c r="AA2" s="51"/>
      <c r="AB2" s="51"/>
      <c r="AC2" s="51"/>
      <c r="AD2" s="51"/>
      <c r="AE2" s="52"/>
      <c r="AF2" s="6"/>
      <c r="AG2" s="26"/>
      <c r="AH2" s="2"/>
      <c r="AI2" s="2"/>
      <c r="AJ2" s="2"/>
      <c r="AK2" s="2"/>
      <c r="AL2" s="1"/>
      <c r="AM2" s="1"/>
      <c r="AN2" s="1"/>
      <c r="AO2" s="1"/>
      <c r="AP2" s="1"/>
      <c r="AQ2" s="1"/>
      <c r="AR2" s="1"/>
      <c r="AS2" s="1"/>
      <c r="AT2" s="1"/>
      <c r="AU2" s="1"/>
      <c r="AV2" s="1"/>
      <c r="AW2" s="1"/>
      <c r="AX2" s="1"/>
      <c r="AY2" s="1"/>
      <c r="AZ2" s="1"/>
      <c r="BA2" s="1"/>
      <c r="BB2" s="1"/>
      <c r="BC2" s="1"/>
      <c r="BD2" s="1"/>
      <c r="BE2" s="1"/>
      <c r="BF2" s="1"/>
      <c r="BG2" s="1"/>
      <c r="BH2" s="1"/>
      <c r="BI2" s="1"/>
      <c r="BJ2" s="1"/>
      <c r="BK2" s="1"/>
    </row>
    <row r="3" spans="2:63" x14ac:dyDescent="0.25">
      <c r="B3" s="46"/>
      <c r="C3" s="47"/>
      <c r="D3" s="6"/>
      <c r="E3" s="41"/>
      <c r="F3" s="42"/>
      <c r="G3" s="43"/>
      <c r="H3" s="6"/>
      <c r="I3" s="53"/>
      <c r="J3" s="54"/>
      <c r="K3" s="54"/>
      <c r="L3" s="54"/>
      <c r="M3" s="54"/>
      <c r="N3" s="54"/>
      <c r="O3" s="54"/>
      <c r="P3" s="54"/>
      <c r="Q3" s="54"/>
      <c r="R3" s="54"/>
      <c r="S3" s="54"/>
      <c r="T3" s="54"/>
      <c r="U3" s="54"/>
      <c r="V3" s="54"/>
      <c r="W3" s="54"/>
      <c r="X3" s="54"/>
      <c r="Y3" s="54"/>
      <c r="Z3" s="54"/>
      <c r="AA3" s="54"/>
      <c r="AB3" s="54"/>
      <c r="AC3" s="54"/>
      <c r="AD3" s="54"/>
      <c r="AE3" s="55"/>
      <c r="AF3" s="6"/>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2:63" ht="15" customHeight="1" x14ac:dyDescent="0.3">
      <c r="B4" s="48"/>
      <c r="C4" s="49"/>
      <c r="D4" s="7"/>
      <c r="E4" s="11" t="s">
        <v>1</v>
      </c>
      <c r="F4" s="12"/>
      <c r="G4" s="13" t="s">
        <v>2</v>
      </c>
      <c r="H4" s="7"/>
      <c r="I4" s="14" t="s">
        <v>29</v>
      </c>
      <c r="J4" s="7"/>
      <c r="K4" s="14" t="s">
        <v>30</v>
      </c>
      <c r="L4" s="7"/>
      <c r="M4" s="14" t="s">
        <v>31</v>
      </c>
      <c r="N4" s="7"/>
      <c r="O4" s="14" t="s">
        <v>32</v>
      </c>
      <c r="P4" s="7"/>
      <c r="Q4" s="25" t="s">
        <v>33</v>
      </c>
      <c r="R4" s="7"/>
      <c r="S4" s="25" t="s">
        <v>34</v>
      </c>
      <c r="T4" s="7"/>
      <c r="U4" s="14" t="s">
        <v>35</v>
      </c>
      <c r="V4" s="7"/>
      <c r="W4" s="14" t="s">
        <v>36</v>
      </c>
      <c r="X4" s="7"/>
      <c r="Y4" s="14" t="s">
        <v>37</v>
      </c>
      <c r="Z4" s="7"/>
      <c r="AA4" s="14" t="s">
        <v>38</v>
      </c>
      <c r="AB4" s="7"/>
      <c r="AC4" s="14" t="s">
        <v>39</v>
      </c>
      <c r="AD4" s="7"/>
      <c r="AE4" s="14" t="s">
        <v>25</v>
      </c>
      <c r="AF4" s="7"/>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row>
    <row r="5" spans="2:63" ht="5.25" customHeight="1" x14ac:dyDescent="0.25">
      <c r="B5" s="15"/>
      <c r="C5" s="10"/>
      <c r="D5" s="6"/>
      <c r="E5" s="16"/>
      <c r="F5" s="16"/>
      <c r="G5" s="17"/>
      <c r="H5" s="6"/>
      <c r="J5" s="6"/>
      <c r="L5" s="6"/>
      <c r="N5" s="6"/>
      <c r="P5" s="6"/>
      <c r="R5" s="6"/>
      <c r="T5" s="6"/>
      <c r="V5" s="6"/>
      <c r="X5" s="6"/>
      <c r="Z5" s="6"/>
      <c r="AB5" s="6"/>
      <c r="AD5" s="6"/>
      <c r="AF5" s="6"/>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row>
    <row r="6" spans="2:63" ht="15" customHeight="1" x14ac:dyDescent="0.25">
      <c r="B6" s="36" t="s">
        <v>18</v>
      </c>
      <c r="C6" s="37"/>
      <c r="D6" s="8"/>
      <c r="E6" s="18"/>
      <c r="F6" s="19"/>
      <c r="G6" s="20"/>
      <c r="H6" s="8" t="str">
        <f>IF(AND(E6&gt;"",G6=""),"A",IF(AND(E6="",G6&gt;""),"B",IF(AND(E6&gt;"",G6&gt;""),"","")))</f>
        <v/>
      </c>
      <c r="I6" s="18"/>
      <c r="J6" s="8"/>
      <c r="K6" s="18"/>
      <c r="L6" s="8"/>
      <c r="M6" s="18"/>
      <c r="N6" s="8"/>
      <c r="O6" s="18"/>
      <c r="P6" s="8"/>
      <c r="Q6" s="18"/>
      <c r="R6" s="8"/>
      <c r="S6" s="18"/>
      <c r="T6" s="8"/>
      <c r="U6" s="18"/>
      <c r="V6" s="8"/>
      <c r="W6" s="18"/>
      <c r="X6" s="8"/>
      <c r="Y6" s="18"/>
      <c r="Z6" s="8"/>
      <c r="AA6" s="18"/>
      <c r="AB6" s="8"/>
      <c r="AC6" s="18"/>
      <c r="AD6" s="8"/>
      <c r="AE6" s="18"/>
      <c r="AF6" s="8"/>
      <c r="AG6" s="27"/>
      <c r="AH6" s="3"/>
      <c r="AI6" s="3"/>
      <c r="AJ6" s="3"/>
      <c r="AK6" s="3"/>
      <c r="AL6" s="1"/>
      <c r="AM6" s="1"/>
      <c r="AN6" s="1"/>
      <c r="AO6" s="1"/>
      <c r="AP6" s="1"/>
      <c r="AQ6" s="1"/>
      <c r="AR6" s="1"/>
      <c r="AS6" s="1"/>
      <c r="AT6" s="1"/>
      <c r="AU6" s="1"/>
      <c r="AV6" s="1"/>
      <c r="AW6" s="1"/>
      <c r="AX6" s="1"/>
      <c r="AY6" s="1"/>
      <c r="AZ6" s="1"/>
      <c r="BA6" s="1"/>
      <c r="BB6" s="1"/>
      <c r="BC6" s="1"/>
      <c r="BD6" s="1"/>
      <c r="BE6" s="1"/>
      <c r="BF6" s="1"/>
      <c r="BG6" s="1"/>
      <c r="BH6" s="1"/>
      <c r="BI6" s="1"/>
      <c r="BJ6" s="1"/>
      <c r="BK6" s="1"/>
    </row>
    <row r="7" spans="2:63" ht="5.25" customHeight="1" x14ac:dyDescent="0.25">
      <c r="B7" s="15"/>
      <c r="C7" s="10"/>
      <c r="D7" s="6"/>
      <c r="E7" s="16"/>
      <c r="F7" s="16"/>
      <c r="G7" s="17"/>
      <c r="H7" s="6"/>
      <c r="J7" s="6"/>
      <c r="L7" s="6"/>
      <c r="N7" s="6"/>
      <c r="P7" s="6"/>
      <c r="R7" s="6"/>
      <c r="T7" s="6"/>
      <c r="V7" s="6"/>
      <c r="X7" s="6"/>
      <c r="Z7" s="6"/>
      <c r="AB7" s="6"/>
      <c r="AD7" s="6"/>
      <c r="AF7" s="6"/>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row>
    <row r="8" spans="2:63" ht="15" customHeight="1" x14ac:dyDescent="0.25">
      <c r="B8" s="36" t="s">
        <v>20</v>
      </c>
      <c r="C8" s="37"/>
      <c r="D8" s="8"/>
      <c r="E8" s="18"/>
      <c r="F8" s="19"/>
      <c r="G8" s="20"/>
      <c r="H8" s="8" t="str">
        <f>IF(AND(E8&gt;"",G8=""),"A",IF(AND(E8="",G8&gt;""),"B",IF(AND(E8&gt;"",G8&gt;""),"","")))</f>
        <v/>
      </c>
      <c r="I8" s="18"/>
      <c r="J8" s="8"/>
      <c r="K8" s="18"/>
      <c r="L8" s="8"/>
      <c r="M8" s="18"/>
      <c r="N8" s="8"/>
      <c r="O8" s="18"/>
      <c r="P8" s="8"/>
      <c r="Q8" s="18"/>
      <c r="R8" s="8"/>
      <c r="S8" s="18"/>
      <c r="T8" s="8"/>
      <c r="U8" s="18"/>
      <c r="V8" s="8"/>
      <c r="W8" s="18"/>
      <c r="X8" s="8"/>
      <c r="Y8" s="18"/>
      <c r="Z8" s="8"/>
      <c r="AA8" s="18"/>
      <c r="AB8" s="8"/>
      <c r="AC8" s="18"/>
      <c r="AD8" s="8"/>
      <c r="AE8" s="18"/>
      <c r="AF8" s="8"/>
      <c r="AH8" s="5"/>
      <c r="AI8" s="5"/>
      <c r="AJ8" s="4"/>
      <c r="AK8" s="4"/>
      <c r="AL8" s="1"/>
      <c r="AM8" s="1"/>
      <c r="AN8" s="1"/>
      <c r="AO8" s="1"/>
      <c r="AP8" s="1"/>
      <c r="AQ8" s="1"/>
      <c r="AR8" s="1"/>
      <c r="AS8" s="1"/>
      <c r="AT8" s="1"/>
      <c r="AU8" s="1"/>
      <c r="AV8" s="1"/>
      <c r="AW8" s="1"/>
      <c r="AX8" s="1"/>
      <c r="AY8" s="1"/>
      <c r="AZ8" s="1"/>
      <c r="BA8" s="1"/>
      <c r="BB8" s="1"/>
      <c r="BC8" s="1"/>
      <c r="BD8" s="1"/>
      <c r="BE8" s="1"/>
      <c r="BF8" s="1"/>
      <c r="BG8" s="1"/>
      <c r="BH8" s="1"/>
      <c r="BI8" s="1"/>
      <c r="BJ8" s="1"/>
      <c r="BK8" s="1"/>
    </row>
    <row r="9" spans="2:63" ht="5.25" customHeight="1" x14ac:dyDescent="0.25">
      <c r="B9" s="15"/>
      <c r="C9" s="10"/>
      <c r="D9" s="6"/>
      <c r="E9" s="16"/>
      <c r="F9" s="16"/>
      <c r="G9" s="17"/>
      <c r="H9" s="6"/>
      <c r="J9" s="6"/>
      <c r="L9" s="6"/>
      <c r="N9" s="6"/>
      <c r="P9" s="6"/>
      <c r="R9" s="6"/>
      <c r="T9" s="6"/>
      <c r="V9" s="6"/>
      <c r="X9" s="6"/>
      <c r="Z9" s="6"/>
      <c r="AB9" s="6"/>
      <c r="AD9" s="6"/>
      <c r="AF9" s="6"/>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row>
    <row r="10" spans="2:63" ht="15" customHeight="1" x14ac:dyDescent="0.25">
      <c r="B10" s="36" t="s">
        <v>15</v>
      </c>
      <c r="C10" s="37"/>
      <c r="D10" s="8"/>
      <c r="E10" s="18"/>
      <c r="F10" s="19"/>
      <c r="G10" s="20"/>
      <c r="H10" s="8" t="str">
        <f>IF(AND(E10&gt;"",G10=""),"A",IF(AND(E10="",G10&gt;""),"B",IF(AND(E10&gt;"",G10&gt;""),"","")))</f>
        <v/>
      </c>
      <c r="I10" s="18"/>
      <c r="J10" s="8"/>
      <c r="K10" s="18"/>
      <c r="L10" s="8"/>
      <c r="M10" s="18"/>
      <c r="N10" s="8"/>
      <c r="O10" s="18"/>
      <c r="P10" s="8"/>
      <c r="Q10" s="18"/>
      <c r="R10" s="8"/>
      <c r="S10" s="18"/>
      <c r="T10" s="8"/>
      <c r="U10" s="18"/>
      <c r="V10" s="8"/>
      <c r="W10" s="18"/>
      <c r="X10" s="8"/>
      <c r="Y10" s="18"/>
      <c r="Z10" s="8"/>
      <c r="AA10" s="18"/>
      <c r="AB10" s="8"/>
      <c r="AC10" s="18"/>
      <c r="AD10" s="8"/>
      <c r="AE10" s="18"/>
      <c r="AF10" s="8"/>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row>
    <row r="11" spans="2:63" ht="5.25" customHeight="1" x14ac:dyDescent="0.25">
      <c r="B11" s="15"/>
      <c r="C11" s="10"/>
      <c r="D11" s="6"/>
      <c r="E11" s="16"/>
      <c r="F11" s="16"/>
      <c r="G11" s="17"/>
      <c r="H11" s="6"/>
      <c r="J11" s="6"/>
      <c r="L11" s="6"/>
      <c r="N11" s="6"/>
      <c r="P11" s="6"/>
      <c r="R11" s="6"/>
      <c r="T11" s="6"/>
      <c r="V11" s="6"/>
      <c r="X11" s="6"/>
      <c r="Z11" s="6"/>
      <c r="AB11" s="6"/>
      <c r="AD11" s="6"/>
      <c r="AF11" s="6"/>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row>
    <row r="12" spans="2:63" ht="15" customHeight="1" x14ac:dyDescent="0.25">
      <c r="B12" s="36" t="s">
        <v>9</v>
      </c>
      <c r="C12" s="37"/>
      <c r="D12" s="8"/>
      <c r="E12" s="18"/>
      <c r="F12" s="19"/>
      <c r="G12" s="20"/>
      <c r="H12" s="8" t="str">
        <f>IF(AND(E12&gt;"",G12=""),"A",IF(AND(E12="",G12&gt;""),"B",IF(AND(E12&gt;"",G12&gt;""),"","")))</f>
        <v/>
      </c>
      <c r="I12" s="18"/>
      <c r="J12" s="8"/>
      <c r="K12" s="18"/>
      <c r="L12" s="8"/>
      <c r="M12" s="18"/>
      <c r="N12" s="8"/>
      <c r="O12" s="18"/>
      <c r="P12" s="8"/>
      <c r="Q12" s="18"/>
      <c r="R12" s="8"/>
      <c r="S12" s="18"/>
      <c r="T12" s="8"/>
      <c r="U12" s="18"/>
      <c r="V12" s="8"/>
      <c r="W12" s="18"/>
      <c r="X12" s="8"/>
      <c r="Y12" s="18"/>
      <c r="Z12" s="8"/>
      <c r="AA12" s="18"/>
      <c r="AB12" s="8"/>
      <c r="AC12" s="18"/>
      <c r="AD12" s="8"/>
      <c r="AE12" s="18"/>
      <c r="AF12" s="8"/>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row>
    <row r="13" spans="2:63" ht="5.25" customHeight="1" x14ac:dyDescent="0.25">
      <c r="B13" s="15"/>
      <c r="C13" s="10"/>
      <c r="D13" s="6"/>
      <c r="E13" s="16"/>
      <c r="F13" s="16"/>
      <c r="G13" s="17"/>
      <c r="H13" s="6"/>
      <c r="J13" s="6"/>
      <c r="L13" s="6"/>
      <c r="N13" s="6"/>
      <c r="P13" s="6"/>
      <c r="R13" s="6"/>
      <c r="T13" s="6"/>
      <c r="V13" s="6"/>
      <c r="X13" s="6"/>
      <c r="Z13" s="6"/>
      <c r="AB13" s="6"/>
      <c r="AD13" s="6"/>
      <c r="AF13" s="6"/>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row>
    <row r="14" spans="2:63" ht="15" customHeight="1" x14ac:dyDescent="0.25">
      <c r="B14" s="36" t="s">
        <v>10</v>
      </c>
      <c r="C14" s="37"/>
      <c r="D14" s="8"/>
      <c r="E14" s="18"/>
      <c r="F14" s="19"/>
      <c r="G14" s="20"/>
      <c r="H14" s="8"/>
      <c r="I14" s="18"/>
      <c r="J14" s="8"/>
      <c r="K14" s="18"/>
      <c r="L14" s="8"/>
      <c r="M14" s="18"/>
      <c r="N14" s="8"/>
      <c r="O14" s="18"/>
      <c r="P14" s="8"/>
      <c r="Q14" s="18"/>
      <c r="R14" s="8"/>
      <c r="S14" s="18"/>
      <c r="T14" s="8"/>
      <c r="U14" s="18"/>
      <c r="V14" s="8"/>
      <c r="W14" s="18"/>
      <c r="X14" s="8"/>
      <c r="Y14" s="18"/>
      <c r="Z14" s="8"/>
      <c r="AA14" s="18"/>
      <c r="AB14" s="8"/>
      <c r="AC14" s="18"/>
      <c r="AD14" s="8"/>
      <c r="AE14" s="18"/>
      <c r="AF14" s="8"/>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row>
    <row r="15" spans="2:63" ht="5.25" customHeight="1" x14ac:dyDescent="0.25">
      <c r="B15" s="15"/>
      <c r="C15" s="10"/>
      <c r="D15" s="6"/>
      <c r="E15" s="16"/>
      <c r="F15" s="16"/>
      <c r="G15" s="17"/>
      <c r="H15" s="6"/>
      <c r="J15" s="6"/>
      <c r="L15" s="6"/>
      <c r="N15" s="6"/>
      <c r="P15" s="6"/>
      <c r="R15" s="6"/>
      <c r="T15" s="6"/>
      <c r="V15" s="6"/>
      <c r="X15" s="6"/>
      <c r="Z15" s="6"/>
      <c r="AB15" s="6"/>
      <c r="AD15" s="6"/>
      <c r="AF15" s="6"/>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row>
    <row r="16" spans="2:63" ht="15" customHeight="1" x14ac:dyDescent="0.25">
      <c r="B16" s="36" t="s">
        <v>8</v>
      </c>
      <c r="C16" s="37"/>
      <c r="D16" s="8"/>
      <c r="E16" s="18"/>
      <c r="F16" s="19"/>
      <c r="G16" s="20"/>
      <c r="H16" s="8" t="str">
        <f>IF(AND(E16&gt;"",G16=""),"A",IF(AND(E16="",G16&gt;""),"B",IF(AND(E16&gt;"",G16&gt;""),"","")))</f>
        <v/>
      </c>
      <c r="I16" s="18"/>
      <c r="J16" s="8"/>
      <c r="K16" s="18"/>
      <c r="L16" s="8"/>
      <c r="M16" s="18"/>
      <c r="N16" s="8"/>
      <c r="O16" s="18"/>
      <c r="P16" s="8"/>
      <c r="Q16" s="18"/>
      <c r="R16" s="8"/>
      <c r="S16" s="18"/>
      <c r="T16" s="8"/>
      <c r="U16" s="18"/>
      <c r="V16" s="8"/>
      <c r="W16" s="18"/>
      <c r="X16" s="8"/>
      <c r="Y16" s="18"/>
      <c r="Z16" s="8"/>
      <c r="AA16" s="18"/>
      <c r="AB16" s="8"/>
      <c r="AC16" s="18"/>
      <c r="AD16" s="8"/>
      <c r="AE16" s="18"/>
      <c r="AF16" s="8"/>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row>
    <row r="17" spans="2:63" ht="5.25" customHeight="1" x14ac:dyDescent="0.25">
      <c r="B17" s="15"/>
      <c r="C17" s="10"/>
      <c r="D17" s="6"/>
      <c r="E17" s="16"/>
      <c r="F17" s="16"/>
      <c r="G17" s="17"/>
      <c r="H17" s="6"/>
      <c r="J17" s="6"/>
      <c r="L17" s="6"/>
      <c r="N17" s="6"/>
      <c r="P17" s="6"/>
      <c r="R17" s="6"/>
      <c r="T17" s="6"/>
      <c r="V17" s="6"/>
      <c r="X17" s="6"/>
      <c r="Z17" s="6"/>
      <c r="AB17" s="6"/>
      <c r="AD17" s="6"/>
      <c r="AE17" s="21"/>
      <c r="AF17" s="6"/>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row>
    <row r="18" spans="2:63" ht="15" customHeight="1" x14ac:dyDescent="0.25">
      <c r="B18" s="36" t="s">
        <v>21</v>
      </c>
      <c r="C18" s="37"/>
      <c r="D18" s="8"/>
      <c r="E18" s="18"/>
      <c r="F18" s="19"/>
      <c r="G18" s="20"/>
      <c r="H18" s="8" t="str">
        <f>IF(AND(E18&gt;"",G18=""),"A",IF(AND(E18="",G18&gt;""),"B",IF(AND(E18&gt;"",G18&gt;""),"","")))</f>
        <v/>
      </c>
      <c r="I18" s="18"/>
      <c r="J18" s="8"/>
      <c r="K18" s="18"/>
      <c r="L18" s="8"/>
      <c r="M18" s="18"/>
      <c r="N18" s="8"/>
      <c r="O18" s="18"/>
      <c r="P18" s="8"/>
      <c r="Q18" s="18"/>
      <c r="R18" s="8"/>
      <c r="S18" s="18"/>
      <c r="T18" s="8"/>
      <c r="U18" s="18"/>
      <c r="V18" s="8"/>
      <c r="W18" s="18"/>
      <c r="X18" s="8"/>
      <c r="Y18" s="18"/>
      <c r="Z18" s="8"/>
      <c r="AA18" s="18"/>
      <c r="AB18" s="8"/>
      <c r="AC18" s="18"/>
      <c r="AD18" s="8"/>
      <c r="AE18" s="18"/>
      <c r="AF18" s="8"/>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row>
    <row r="19" spans="2:63" ht="5.25" customHeight="1" x14ac:dyDescent="0.25">
      <c r="B19" s="15"/>
      <c r="C19" s="10"/>
      <c r="D19" s="6"/>
      <c r="E19" s="16"/>
      <c r="F19" s="16"/>
      <c r="G19" s="17"/>
      <c r="H19" s="6"/>
      <c r="J19" s="6"/>
      <c r="L19" s="6"/>
      <c r="N19" s="6"/>
      <c r="P19" s="6"/>
      <c r="R19" s="6"/>
      <c r="T19" s="6"/>
      <c r="V19" s="6"/>
      <c r="X19" s="6"/>
      <c r="Z19" s="6"/>
      <c r="AB19" s="6"/>
      <c r="AD19" s="6"/>
      <c r="AE19" s="21"/>
      <c r="AF19" s="6"/>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row>
    <row r="20" spans="2:63" ht="15" customHeight="1" x14ac:dyDescent="0.25">
      <c r="B20" s="36" t="s">
        <v>19</v>
      </c>
      <c r="C20" s="37"/>
      <c r="D20" s="8"/>
      <c r="E20" s="18"/>
      <c r="F20" s="16"/>
      <c r="G20" s="20"/>
      <c r="H20" s="8" t="str">
        <f>IF(AND(E20&gt;"",G20=""),"A",IF(AND(E20="",G20&gt;""),"B",IF(AND(E20&gt;"",G20&gt;""),"","")))</f>
        <v/>
      </c>
      <c r="I20" s="18"/>
      <c r="J20" s="8"/>
      <c r="K20" s="18"/>
      <c r="L20" s="8"/>
      <c r="M20" s="18"/>
      <c r="N20" s="8"/>
      <c r="O20" s="18"/>
      <c r="P20" s="8"/>
      <c r="Q20" s="18"/>
      <c r="R20" s="8"/>
      <c r="S20" s="18"/>
      <c r="T20" s="8"/>
      <c r="U20" s="18"/>
      <c r="V20" s="8"/>
      <c r="W20" s="18"/>
      <c r="X20" s="8"/>
      <c r="Y20" s="18"/>
      <c r="Z20" s="8"/>
      <c r="AA20" s="18"/>
      <c r="AB20" s="8"/>
      <c r="AC20" s="18"/>
      <c r="AD20" s="8"/>
      <c r="AE20" s="18"/>
      <c r="AF20" s="8"/>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row>
    <row r="21" spans="2:63" ht="5.25" customHeight="1" x14ac:dyDescent="0.25">
      <c r="B21" s="15"/>
      <c r="C21" s="10"/>
      <c r="D21" s="6"/>
      <c r="E21" s="16"/>
      <c r="F21" s="16"/>
      <c r="G21" s="17"/>
      <c r="H21" s="6"/>
      <c r="J21" s="6"/>
      <c r="L21" s="6"/>
      <c r="N21" s="6"/>
      <c r="P21" s="6"/>
      <c r="R21" s="6"/>
      <c r="T21" s="6"/>
      <c r="V21" s="6"/>
      <c r="X21" s="6"/>
      <c r="Z21" s="6"/>
      <c r="AB21" s="6"/>
      <c r="AD21" s="6"/>
      <c r="AE21" s="21"/>
      <c r="AF21" s="6"/>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row>
    <row r="22" spans="2:63" ht="15" customHeight="1" x14ac:dyDescent="0.25">
      <c r="B22" s="36" t="s">
        <v>17</v>
      </c>
      <c r="C22" s="37"/>
      <c r="D22" s="8"/>
      <c r="E22" s="18"/>
      <c r="F22" s="16"/>
      <c r="G22" s="20"/>
      <c r="H22" s="8"/>
      <c r="I22" s="18"/>
      <c r="J22" s="8"/>
      <c r="K22" s="18"/>
      <c r="L22" s="8"/>
      <c r="M22" s="18"/>
      <c r="N22" s="8"/>
      <c r="O22" s="18"/>
      <c r="P22" s="8"/>
      <c r="Q22" s="18"/>
      <c r="R22" s="8"/>
      <c r="S22" s="18"/>
      <c r="T22" s="8"/>
      <c r="U22" s="18"/>
      <c r="V22" s="8"/>
      <c r="W22" s="18"/>
      <c r="X22" s="8"/>
      <c r="Y22" s="18"/>
      <c r="Z22" s="8"/>
      <c r="AA22" s="18"/>
      <c r="AB22" s="8"/>
      <c r="AC22" s="18"/>
      <c r="AD22" s="8"/>
      <c r="AE22" s="18"/>
      <c r="AF22" s="8"/>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row>
    <row r="23" spans="2:63" ht="5.25" customHeight="1" x14ac:dyDescent="0.25">
      <c r="B23" s="15"/>
      <c r="C23" s="10"/>
      <c r="D23" s="6"/>
      <c r="E23" s="16"/>
      <c r="F23" s="16"/>
      <c r="G23" s="17"/>
      <c r="H23" s="6"/>
      <c r="J23" s="6"/>
      <c r="L23" s="6"/>
      <c r="N23" s="6"/>
      <c r="P23" s="6"/>
      <c r="R23" s="6"/>
      <c r="T23" s="6"/>
      <c r="V23" s="6"/>
      <c r="X23" s="6"/>
      <c r="Z23" s="6"/>
      <c r="AB23" s="6"/>
      <c r="AD23" s="6"/>
      <c r="AE23" s="21"/>
      <c r="AF23" s="6"/>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row>
    <row r="24" spans="2:63" ht="15" customHeight="1" x14ac:dyDescent="0.25">
      <c r="B24" s="36" t="s">
        <v>22</v>
      </c>
      <c r="C24" s="37"/>
      <c r="D24" s="8"/>
      <c r="E24" s="18"/>
      <c r="F24" s="19"/>
      <c r="G24" s="20"/>
      <c r="H24" s="8" t="str">
        <f>IF(AND(E24&gt;"",G24=""),"A",IF(AND(E24="",G24&gt;""),"B",IF(AND(E24&gt;"",G24&gt;""),"","")))</f>
        <v/>
      </c>
      <c r="I24" s="18"/>
      <c r="J24" s="8"/>
      <c r="K24" s="18"/>
      <c r="L24" s="8"/>
      <c r="M24" s="18"/>
      <c r="N24" s="8"/>
      <c r="O24" s="18"/>
      <c r="P24" s="8"/>
      <c r="Q24" s="18"/>
      <c r="R24" s="8"/>
      <c r="S24" s="18"/>
      <c r="T24" s="8"/>
      <c r="U24" s="18"/>
      <c r="V24" s="8"/>
      <c r="W24" s="18"/>
      <c r="X24" s="8"/>
      <c r="Y24" s="18"/>
      <c r="Z24" s="8"/>
      <c r="AA24" s="18"/>
      <c r="AB24" s="8"/>
      <c r="AC24" s="18"/>
      <c r="AD24" s="8"/>
      <c r="AE24" s="18"/>
      <c r="AF24" s="8"/>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row>
    <row r="25" spans="2:63" ht="5.25" customHeight="1" x14ac:dyDescent="0.25">
      <c r="B25" s="15"/>
      <c r="C25" s="10"/>
      <c r="D25" s="6"/>
      <c r="E25" s="16"/>
      <c r="F25" s="16"/>
      <c r="G25" s="17"/>
      <c r="H25" s="6"/>
      <c r="J25" s="6"/>
      <c r="L25" s="6"/>
      <c r="N25" s="6"/>
      <c r="P25" s="6"/>
      <c r="R25" s="6"/>
      <c r="T25" s="6"/>
      <c r="V25" s="6"/>
      <c r="X25" s="6"/>
      <c r="Z25" s="6"/>
      <c r="AB25" s="6"/>
      <c r="AD25" s="6"/>
      <c r="AE25" s="21"/>
      <c r="AF25" s="6"/>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row>
    <row r="26" spans="2:63" ht="15" customHeight="1" x14ac:dyDescent="0.25">
      <c r="B26" s="34" t="s">
        <v>16</v>
      </c>
      <c r="C26" s="35"/>
      <c r="D26" s="16"/>
      <c r="E26" s="18"/>
      <c r="F26" s="19"/>
      <c r="G26" s="20"/>
      <c r="H26" s="8"/>
      <c r="I26" s="18"/>
      <c r="J26" s="8"/>
      <c r="K26" s="18"/>
      <c r="L26" s="8"/>
      <c r="M26" s="18"/>
      <c r="N26" s="8"/>
      <c r="O26" s="18"/>
      <c r="P26" s="8"/>
      <c r="Q26" s="18"/>
      <c r="R26" s="8"/>
      <c r="S26" s="18"/>
      <c r="T26" s="8"/>
      <c r="U26" s="18"/>
      <c r="V26" s="8"/>
      <c r="W26" s="18"/>
      <c r="X26" s="8"/>
      <c r="Y26" s="18"/>
      <c r="Z26" s="8"/>
      <c r="AA26" s="18"/>
      <c r="AB26" s="8"/>
      <c r="AC26" s="18"/>
      <c r="AD26" s="8"/>
      <c r="AE26" s="18"/>
      <c r="AF26" s="6"/>
    </row>
    <row r="27" spans="2:63" ht="5.25" customHeight="1" x14ac:dyDescent="0.25">
      <c r="B27" s="15"/>
      <c r="C27" s="10"/>
      <c r="D27" s="6"/>
      <c r="E27" s="16"/>
      <c r="F27" s="16"/>
      <c r="G27" s="17"/>
      <c r="H27" s="6"/>
      <c r="J27" s="6"/>
      <c r="L27" s="6"/>
      <c r="N27" s="6"/>
      <c r="P27" s="6"/>
      <c r="R27" s="6"/>
      <c r="T27" s="6"/>
      <c r="V27" s="6"/>
      <c r="X27" s="6"/>
      <c r="Z27" s="6"/>
      <c r="AB27" s="6"/>
      <c r="AD27" s="6"/>
      <c r="AF27" s="6"/>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row>
    <row r="28" spans="2:63" ht="15" customHeight="1" x14ac:dyDescent="0.25">
      <c r="B28" s="34" t="s">
        <v>26</v>
      </c>
      <c r="C28" s="35"/>
      <c r="D28" s="16"/>
      <c r="E28" s="18"/>
      <c r="F28" s="19"/>
      <c r="G28" s="20"/>
      <c r="H28" s="8"/>
      <c r="I28" s="18"/>
      <c r="J28" s="8"/>
      <c r="K28" s="18"/>
      <c r="L28" s="8"/>
      <c r="M28" s="18"/>
      <c r="N28" s="8"/>
      <c r="O28" s="18"/>
      <c r="P28" s="8"/>
      <c r="Q28" s="18"/>
      <c r="R28" s="8"/>
      <c r="S28" s="18"/>
      <c r="T28" s="8"/>
      <c r="U28" s="18"/>
      <c r="V28" s="8"/>
      <c r="W28" s="18"/>
      <c r="X28" s="8"/>
      <c r="Y28" s="18"/>
      <c r="Z28" s="8"/>
      <c r="AA28" s="18"/>
      <c r="AB28" s="8"/>
      <c r="AC28" s="18"/>
      <c r="AD28" s="8"/>
      <c r="AE28" s="18"/>
      <c r="AF28" s="6"/>
    </row>
    <row r="29" spans="2:63" ht="5.25" customHeight="1" x14ac:dyDescent="0.25">
      <c r="B29" s="15"/>
      <c r="C29" s="10"/>
      <c r="D29" s="6"/>
      <c r="E29" s="16"/>
      <c r="F29" s="16"/>
      <c r="G29" s="17"/>
      <c r="H29" s="6"/>
      <c r="J29" s="6"/>
      <c r="L29" s="6"/>
      <c r="N29" s="6"/>
      <c r="P29" s="6"/>
      <c r="R29" s="6"/>
      <c r="T29" s="6"/>
      <c r="V29" s="6"/>
      <c r="X29" s="6"/>
      <c r="Z29" s="6"/>
      <c r="AB29" s="6"/>
      <c r="AD29" s="6"/>
      <c r="AF29" s="6"/>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row>
    <row r="30" spans="2:63" ht="15" customHeight="1" x14ac:dyDescent="0.25">
      <c r="B30" s="34" t="s">
        <v>27</v>
      </c>
      <c r="C30" s="35"/>
      <c r="D30" s="16"/>
      <c r="E30" s="18"/>
      <c r="F30" s="19"/>
      <c r="G30" s="20"/>
      <c r="H30" s="8"/>
      <c r="I30" s="18"/>
      <c r="J30" s="8"/>
      <c r="K30" s="18"/>
      <c r="L30" s="8"/>
      <c r="M30" s="18"/>
      <c r="N30" s="8"/>
      <c r="O30" s="18"/>
      <c r="P30" s="8"/>
      <c r="Q30" s="18"/>
      <c r="R30" s="8"/>
      <c r="S30" s="18"/>
      <c r="T30" s="8"/>
      <c r="U30" s="18"/>
      <c r="V30" s="8"/>
      <c r="W30" s="18"/>
      <c r="X30" s="8"/>
      <c r="Y30" s="18"/>
      <c r="Z30" s="8"/>
      <c r="AA30" s="18"/>
      <c r="AB30" s="8"/>
      <c r="AC30" s="18"/>
      <c r="AD30" s="8"/>
      <c r="AE30" s="18"/>
      <c r="AF30" s="6"/>
    </row>
    <row r="31" spans="2:63" ht="5.25" customHeight="1" x14ac:dyDescent="0.25">
      <c r="D31" s="16"/>
      <c r="E31" s="16"/>
      <c r="F31" s="16"/>
      <c r="G31" s="17"/>
      <c r="H31" s="6"/>
      <c r="J31" s="6"/>
      <c r="L31" s="6"/>
      <c r="N31" s="6"/>
      <c r="P31" s="6"/>
      <c r="R31" s="6"/>
      <c r="T31" s="6"/>
      <c r="V31" s="6"/>
      <c r="X31" s="6"/>
      <c r="Z31" s="6"/>
      <c r="AB31" s="6"/>
      <c r="AD31" s="6"/>
      <c r="AF31" s="6"/>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spans="2:63" ht="15" customHeight="1" x14ac:dyDescent="0.25">
      <c r="B32" s="34" t="s">
        <v>3</v>
      </c>
      <c r="C32" s="35"/>
      <c r="D32" s="16"/>
      <c r="E32" s="18"/>
      <c r="F32" s="19"/>
      <c r="G32" s="20"/>
      <c r="H32" s="8"/>
      <c r="I32" s="18"/>
      <c r="J32" s="8"/>
      <c r="K32" s="18"/>
      <c r="L32" s="8"/>
      <c r="M32" s="18"/>
      <c r="N32" s="8"/>
      <c r="O32" s="18"/>
      <c r="P32" s="8"/>
      <c r="Q32" s="18"/>
      <c r="R32" s="8"/>
      <c r="S32" s="18"/>
      <c r="T32" s="8"/>
      <c r="U32" s="18"/>
      <c r="V32" s="8"/>
      <c r="W32" s="18"/>
      <c r="X32" s="8"/>
      <c r="Y32" s="18"/>
      <c r="Z32" s="8"/>
      <c r="AA32" s="18"/>
      <c r="AB32" s="8"/>
      <c r="AC32" s="18"/>
      <c r="AD32" s="8"/>
      <c r="AE32" s="18"/>
      <c r="AF32" s="6"/>
    </row>
    <row r="33" spans="2:63" ht="5.25" customHeight="1" x14ac:dyDescent="0.25">
      <c r="B33" s="15"/>
      <c r="C33" s="10"/>
      <c r="D33" s="16"/>
      <c r="E33" s="16"/>
      <c r="F33" s="16"/>
      <c r="G33" s="17"/>
      <c r="H33" s="6"/>
      <c r="J33" s="6"/>
      <c r="L33" s="6"/>
      <c r="N33" s="6"/>
      <c r="P33" s="6"/>
      <c r="R33" s="6"/>
      <c r="T33" s="6"/>
      <c r="V33" s="6"/>
      <c r="X33" s="6"/>
      <c r="Z33" s="6"/>
      <c r="AB33" s="6"/>
      <c r="AD33" s="6"/>
      <c r="AF33" s="6"/>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row>
    <row r="34" spans="2:63" ht="15" customHeight="1" x14ac:dyDescent="0.25">
      <c r="B34" s="34" t="s">
        <v>4</v>
      </c>
      <c r="C34" s="35"/>
      <c r="D34" s="16"/>
      <c r="E34" s="18"/>
      <c r="F34" s="19"/>
      <c r="G34" s="20"/>
      <c r="H34" s="8"/>
      <c r="I34" s="18"/>
      <c r="J34" s="8"/>
      <c r="K34" s="18"/>
      <c r="L34" s="8"/>
      <c r="M34" s="18"/>
      <c r="N34" s="8"/>
      <c r="O34" s="18"/>
      <c r="P34" s="8"/>
      <c r="Q34" s="18"/>
      <c r="R34" s="8"/>
      <c r="S34" s="18"/>
      <c r="T34" s="8"/>
      <c r="U34" s="18"/>
      <c r="V34" s="8"/>
      <c r="W34" s="18"/>
      <c r="X34" s="8"/>
      <c r="Y34" s="18"/>
      <c r="Z34" s="8"/>
      <c r="AA34" s="18"/>
      <c r="AB34" s="8"/>
      <c r="AC34" s="18"/>
      <c r="AD34" s="8"/>
      <c r="AE34" s="18"/>
      <c r="AF34" s="6"/>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row>
    <row r="35" spans="2:63" ht="5.25" customHeight="1" x14ac:dyDescent="0.25">
      <c r="B35" s="15"/>
      <c r="C35" s="10"/>
      <c r="D35" s="16"/>
      <c r="E35" s="16"/>
      <c r="F35" s="16"/>
      <c r="G35" s="17"/>
      <c r="H35" s="6"/>
      <c r="J35" s="6"/>
      <c r="L35" s="6"/>
      <c r="N35" s="6"/>
      <c r="P35" s="6"/>
      <c r="R35" s="6"/>
      <c r="T35" s="6"/>
      <c r="V35" s="6"/>
      <c r="X35" s="6"/>
      <c r="Z35" s="6"/>
      <c r="AB35" s="6"/>
      <c r="AD35" s="6"/>
      <c r="AF35" s="6"/>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row>
    <row r="36" spans="2:63" ht="15" customHeight="1" x14ac:dyDescent="0.25">
      <c r="B36" s="34" t="s">
        <v>5</v>
      </c>
      <c r="C36" s="35"/>
      <c r="D36" s="16"/>
      <c r="E36" s="18"/>
      <c r="F36" s="19"/>
      <c r="G36" s="20"/>
      <c r="H36" s="8"/>
      <c r="I36" s="18"/>
      <c r="J36" s="8"/>
      <c r="K36" s="18"/>
      <c r="L36" s="8"/>
      <c r="M36" s="18"/>
      <c r="N36" s="8"/>
      <c r="O36" s="18"/>
      <c r="P36" s="8"/>
      <c r="Q36" s="18"/>
      <c r="R36" s="8"/>
      <c r="S36" s="18"/>
      <c r="T36" s="8"/>
      <c r="U36" s="18"/>
      <c r="V36" s="8"/>
      <c r="W36" s="18"/>
      <c r="X36" s="8"/>
      <c r="Y36" s="18"/>
      <c r="Z36" s="8"/>
      <c r="AA36" s="18"/>
      <c r="AB36" s="8"/>
      <c r="AC36" s="18"/>
      <c r="AD36" s="8"/>
      <c r="AE36" s="18"/>
      <c r="AF36" s="6"/>
    </row>
    <row r="37" spans="2:63" ht="5.25" customHeight="1" x14ac:dyDescent="0.25">
      <c r="B37" s="15"/>
      <c r="C37" s="10"/>
      <c r="D37" s="16"/>
      <c r="E37" s="16"/>
      <c r="F37" s="16"/>
      <c r="G37" s="17"/>
      <c r="H37" s="6"/>
      <c r="J37" s="6"/>
      <c r="L37" s="6"/>
      <c r="N37" s="6"/>
      <c r="P37" s="6"/>
      <c r="R37" s="6"/>
      <c r="T37" s="6"/>
      <c r="V37" s="6"/>
      <c r="X37" s="6"/>
      <c r="Z37" s="6"/>
      <c r="AB37" s="6"/>
      <c r="AD37" s="6"/>
      <c r="AF37" s="6"/>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row>
    <row r="38" spans="2:63" ht="15" customHeight="1" x14ac:dyDescent="0.25">
      <c r="B38" s="34" t="s">
        <v>6</v>
      </c>
      <c r="C38" s="35"/>
      <c r="D38" s="16"/>
      <c r="E38" s="18"/>
      <c r="F38" s="19"/>
      <c r="G38" s="20"/>
      <c r="H38" s="8"/>
      <c r="I38" s="18"/>
      <c r="J38" s="8"/>
      <c r="K38" s="18"/>
      <c r="L38" s="8"/>
      <c r="M38" s="18"/>
      <c r="N38" s="8"/>
      <c r="O38" s="18"/>
      <c r="P38" s="8"/>
      <c r="Q38" s="18"/>
      <c r="R38" s="8"/>
      <c r="S38" s="18"/>
      <c r="T38" s="8"/>
      <c r="U38" s="18"/>
      <c r="V38" s="8"/>
      <c r="W38" s="18"/>
      <c r="X38" s="8"/>
      <c r="Y38" s="18"/>
      <c r="Z38" s="8"/>
      <c r="AA38" s="18"/>
      <c r="AB38" s="8"/>
      <c r="AC38" s="18"/>
      <c r="AD38" s="8"/>
      <c r="AE38" s="18"/>
      <c r="AF38" s="6"/>
    </row>
    <row r="39" spans="2:63" ht="5.25" customHeight="1" x14ac:dyDescent="0.25">
      <c r="B39" s="15"/>
      <c r="C39" s="10"/>
      <c r="D39" s="16"/>
      <c r="E39" s="16"/>
      <c r="F39" s="16"/>
      <c r="G39" s="17"/>
      <c r="H39" s="6"/>
      <c r="J39" s="6"/>
      <c r="L39" s="6"/>
      <c r="N39" s="6"/>
      <c r="P39" s="6"/>
      <c r="R39" s="6"/>
      <c r="T39" s="6"/>
      <c r="V39" s="6"/>
      <c r="X39" s="6"/>
      <c r="Z39" s="6"/>
      <c r="AB39" s="6"/>
      <c r="AD39" s="6"/>
      <c r="AF39" s="6"/>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row>
    <row r="40" spans="2:63" ht="15" customHeight="1" x14ac:dyDescent="0.25">
      <c r="B40" s="34" t="s">
        <v>28</v>
      </c>
      <c r="C40" s="35"/>
      <c r="D40" s="16"/>
      <c r="E40" s="18"/>
      <c r="F40" s="19"/>
      <c r="G40" s="20"/>
      <c r="H40" s="8"/>
      <c r="I40" s="18"/>
      <c r="J40" s="8"/>
      <c r="K40" s="18"/>
      <c r="L40" s="8"/>
      <c r="M40" s="18"/>
      <c r="N40" s="8"/>
      <c r="O40" s="18"/>
      <c r="P40" s="8"/>
      <c r="Q40" s="18"/>
      <c r="R40" s="8"/>
      <c r="S40" s="18"/>
      <c r="T40" s="8"/>
      <c r="U40" s="18"/>
      <c r="V40" s="8"/>
      <c r="W40" s="18"/>
      <c r="X40" s="8"/>
      <c r="Y40" s="18"/>
      <c r="Z40" s="8"/>
      <c r="AA40" s="18"/>
      <c r="AB40" s="8"/>
      <c r="AC40" s="18"/>
      <c r="AD40" s="8"/>
      <c r="AE40" s="18"/>
      <c r="AF40" s="6"/>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row>
    <row r="41" spans="2:63" ht="5.25" customHeight="1" x14ac:dyDescent="0.25">
      <c r="D41" s="16"/>
      <c r="E41" s="16"/>
      <c r="F41" s="16"/>
      <c r="G41" s="17"/>
      <c r="H41" s="6"/>
      <c r="J41" s="6"/>
      <c r="L41" s="6"/>
      <c r="N41" s="6"/>
      <c r="P41" s="6"/>
      <c r="R41" s="6"/>
      <c r="T41" s="6"/>
      <c r="V41" s="6"/>
      <c r="X41" s="6"/>
      <c r="Z41" s="6"/>
      <c r="AB41" s="6"/>
      <c r="AD41" s="6"/>
      <c r="AF41" s="6"/>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row>
    <row r="42" spans="2:63" ht="15" customHeight="1" x14ac:dyDescent="0.25">
      <c r="B42" s="34" t="s">
        <v>7</v>
      </c>
      <c r="C42" s="35"/>
      <c r="D42" s="16"/>
      <c r="E42" s="18"/>
      <c r="F42" s="16"/>
      <c r="G42" s="20"/>
      <c r="H42" s="8"/>
      <c r="I42" s="18"/>
      <c r="J42" s="8"/>
      <c r="K42" s="18"/>
      <c r="L42" s="8"/>
      <c r="M42" s="18"/>
      <c r="N42" s="8"/>
      <c r="O42" s="18"/>
      <c r="P42" s="8"/>
      <c r="Q42" s="18"/>
      <c r="R42" s="8"/>
      <c r="S42" s="18"/>
      <c r="T42" s="8"/>
      <c r="U42" s="18"/>
      <c r="V42" s="8"/>
      <c r="W42" s="18"/>
      <c r="X42" s="8"/>
      <c r="Y42" s="18"/>
      <c r="Z42" s="8"/>
      <c r="AA42" s="18"/>
      <c r="AB42" s="8"/>
      <c r="AC42" s="18"/>
      <c r="AD42" s="8"/>
      <c r="AE42" s="18"/>
      <c r="AF42" s="6"/>
    </row>
    <row r="43" spans="2:63" ht="5.25" customHeight="1" x14ac:dyDescent="0.25">
      <c r="B43" s="15"/>
      <c r="C43" s="10"/>
      <c r="D43" s="16"/>
      <c r="E43" s="16"/>
      <c r="F43" s="16"/>
      <c r="G43" s="17"/>
      <c r="H43" s="6"/>
      <c r="J43" s="6"/>
      <c r="L43" s="6"/>
      <c r="N43" s="6"/>
      <c r="P43" s="6"/>
      <c r="R43" s="6"/>
      <c r="T43" s="6"/>
      <c r="V43" s="6"/>
      <c r="X43" s="6"/>
      <c r="Z43" s="6"/>
      <c r="AB43" s="6"/>
      <c r="AD43" s="6"/>
      <c r="AF43" s="6"/>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row>
    <row r="44" spans="2:63" ht="15" customHeight="1" x14ac:dyDescent="0.25">
      <c r="B44" s="34" t="s">
        <v>12</v>
      </c>
      <c r="C44" s="35"/>
      <c r="D44" s="16"/>
      <c r="E44" s="18"/>
      <c r="F44" s="16"/>
      <c r="G44" s="20"/>
      <c r="H44" s="8"/>
      <c r="I44" s="18"/>
      <c r="J44" s="8"/>
      <c r="K44" s="18"/>
      <c r="L44" s="8"/>
      <c r="M44" s="18"/>
      <c r="N44" s="8"/>
      <c r="O44" s="18"/>
      <c r="P44" s="8"/>
      <c r="Q44" s="18"/>
      <c r="R44" s="8"/>
      <c r="S44" s="18"/>
      <c r="T44" s="8"/>
      <c r="U44" s="18"/>
      <c r="V44" s="8"/>
      <c r="W44" s="18"/>
      <c r="X44" s="8"/>
      <c r="Y44" s="18"/>
      <c r="Z44" s="8"/>
      <c r="AA44" s="18"/>
      <c r="AB44" s="8"/>
      <c r="AC44" s="18"/>
      <c r="AD44" s="8"/>
      <c r="AE44" s="18"/>
      <c r="AF44" s="6"/>
    </row>
    <row r="45" spans="2:63" ht="5.25" customHeight="1" x14ac:dyDescent="0.25">
      <c r="B45" s="15"/>
      <c r="C45" s="10"/>
      <c r="D45" s="16"/>
      <c r="E45" s="16"/>
      <c r="F45" s="16"/>
      <c r="G45" s="17"/>
      <c r="H45" s="6"/>
      <c r="J45" s="6"/>
      <c r="L45" s="6"/>
      <c r="N45" s="6"/>
      <c r="P45" s="6"/>
      <c r="R45" s="6"/>
      <c r="T45" s="6"/>
      <c r="V45" s="6"/>
      <c r="X45" s="6"/>
      <c r="Z45" s="6"/>
      <c r="AB45" s="6"/>
      <c r="AD45" s="6"/>
      <c r="AF45" s="6"/>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row>
    <row r="46" spans="2:63" ht="15" customHeight="1" x14ac:dyDescent="0.25">
      <c r="B46" s="34" t="s">
        <v>11</v>
      </c>
      <c r="C46" s="35"/>
      <c r="D46" s="16"/>
      <c r="E46" s="18"/>
      <c r="F46" s="19"/>
      <c r="G46" s="20"/>
      <c r="H46" s="8"/>
      <c r="I46" s="18"/>
      <c r="J46" s="8"/>
      <c r="K46" s="18"/>
      <c r="L46" s="8"/>
      <c r="M46" s="18"/>
      <c r="N46" s="8"/>
      <c r="O46" s="18"/>
      <c r="P46" s="8"/>
      <c r="Q46" s="18"/>
      <c r="R46" s="8"/>
      <c r="S46" s="18"/>
      <c r="T46" s="8"/>
      <c r="U46" s="18"/>
      <c r="V46" s="8"/>
      <c r="W46" s="18"/>
      <c r="X46" s="8"/>
      <c r="Y46" s="18"/>
      <c r="Z46" s="8"/>
      <c r="AA46" s="18"/>
      <c r="AB46" s="8"/>
      <c r="AC46" s="18"/>
      <c r="AD46" s="8"/>
      <c r="AE46" s="18"/>
      <c r="AF46" s="6"/>
    </row>
    <row r="47" spans="2:63" ht="5.25" customHeight="1" x14ac:dyDescent="0.25">
      <c r="B47" s="15"/>
      <c r="C47" s="10"/>
      <c r="D47" s="16"/>
      <c r="E47" s="16"/>
      <c r="F47" s="16"/>
      <c r="G47" s="17"/>
      <c r="H47" s="6"/>
      <c r="J47" s="6"/>
      <c r="L47" s="6"/>
      <c r="N47" s="6"/>
      <c r="P47" s="6"/>
      <c r="R47" s="6"/>
      <c r="T47" s="6"/>
      <c r="V47" s="6"/>
      <c r="X47" s="6"/>
      <c r="Z47" s="6"/>
      <c r="AB47" s="6"/>
      <c r="AD47" s="6"/>
      <c r="AF47" s="6"/>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row>
    <row r="48" spans="2:63" ht="15" customHeight="1" x14ac:dyDescent="0.25">
      <c r="B48" s="34" t="s">
        <v>13</v>
      </c>
      <c r="C48" s="35"/>
      <c r="D48" s="16"/>
      <c r="E48" s="18"/>
      <c r="F48" s="16"/>
      <c r="G48" s="20"/>
      <c r="H48" s="8"/>
      <c r="I48" s="18"/>
      <c r="J48" s="8"/>
      <c r="K48" s="18"/>
      <c r="L48" s="8"/>
      <c r="M48" s="18"/>
      <c r="N48" s="8"/>
      <c r="O48" s="18"/>
      <c r="P48" s="8"/>
      <c r="Q48" s="18"/>
      <c r="R48" s="8"/>
      <c r="S48" s="18"/>
      <c r="T48" s="8"/>
      <c r="U48" s="18"/>
      <c r="V48" s="8"/>
      <c r="W48" s="18"/>
      <c r="X48" s="8"/>
      <c r="Y48" s="18"/>
      <c r="Z48" s="8"/>
      <c r="AA48" s="18"/>
      <c r="AB48" s="8"/>
      <c r="AC48" s="18"/>
      <c r="AD48" s="8"/>
      <c r="AE48" s="18"/>
      <c r="AF48" s="6"/>
    </row>
    <row r="49" spans="2:63" ht="5.25" customHeight="1" x14ac:dyDescent="0.25">
      <c r="B49" s="15"/>
      <c r="C49" s="10"/>
      <c r="D49" s="16"/>
      <c r="E49" s="16"/>
      <c r="F49" s="16"/>
      <c r="G49" s="17"/>
      <c r="H49" s="6"/>
      <c r="J49" s="6"/>
      <c r="L49" s="6"/>
      <c r="N49" s="6"/>
      <c r="P49" s="6"/>
      <c r="R49" s="6"/>
      <c r="T49" s="6"/>
      <c r="V49" s="6"/>
      <c r="X49" s="6"/>
      <c r="Z49" s="6"/>
      <c r="AB49" s="6"/>
      <c r="AD49" s="6"/>
      <c r="AF49" s="6"/>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spans="2:63" ht="15" customHeight="1" x14ac:dyDescent="0.25">
      <c r="B50" s="34" t="s">
        <v>14</v>
      </c>
      <c r="C50" s="35"/>
      <c r="D50" s="16"/>
      <c r="E50" s="18"/>
      <c r="F50" s="19"/>
      <c r="G50" s="20"/>
      <c r="H50" s="8"/>
      <c r="I50" s="18"/>
      <c r="J50" s="8"/>
      <c r="K50" s="18"/>
      <c r="L50" s="8"/>
      <c r="M50" s="18"/>
      <c r="N50" s="8"/>
      <c r="O50" s="18"/>
      <c r="P50" s="8"/>
      <c r="Q50" s="18"/>
      <c r="R50" s="8"/>
      <c r="S50" s="18"/>
      <c r="T50" s="8"/>
      <c r="U50" s="18"/>
      <c r="V50" s="8"/>
      <c r="W50" s="18"/>
      <c r="X50" s="8"/>
      <c r="Y50" s="18"/>
      <c r="Z50" s="8"/>
      <c r="AA50" s="18"/>
      <c r="AB50" s="8"/>
      <c r="AC50" s="18"/>
      <c r="AD50" s="8"/>
      <c r="AE50" s="18"/>
      <c r="AF50" s="6"/>
    </row>
    <row r="51" spans="2:63" ht="5.25" customHeight="1" x14ac:dyDescent="0.25">
      <c r="B51" s="15"/>
      <c r="C51" s="10"/>
      <c r="D51" s="16"/>
      <c r="E51" s="16"/>
      <c r="F51" s="16"/>
      <c r="G51" s="17"/>
      <c r="H51" s="6"/>
      <c r="J51" s="6"/>
      <c r="L51" s="6"/>
      <c r="N51" s="6"/>
      <c r="P51" s="6"/>
      <c r="R51" s="6"/>
      <c r="T51" s="6"/>
      <c r="V51" s="6"/>
      <c r="X51" s="6"/>
      <c r="Z51" s="6"/>
      <c r="AB51" s="6"/>
      <c r="AD51" s="6"/>
      <c r="AF51" s="6"/>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spans="2:63" ht="15" customHeight="1" x14ac:dyDescent="0.25">
      <c r="B52" s="34" t="s">
        <v>11</v>
      </c>
      <c r="C52" s="35"/>
      <c r="D52" s="16"/>
      <c r="E52" s="18"/>
      <c r="F52" s="19"/>
      <c r="G52" s="20"/>
      <c r="H52" s="8"/>
      <c r="I52" s="18"/>
      <c r="J52" s="8"/>
      <c r="K52" s="18"/>
      <c r="L52" s="8"/>
      <c r="M52" s="18"/>
      <c r="N52" s="8"/>
      <c r="O52" s="18"/>
      <c r="P52" s="8"/>
      <c r="Q52" s="18"/>
      <c r="R52" s="8"/>
      <c r="S52" s="18"/>
      <c r="T52" s="8"/>
      <c r="U52" s="18"/>
      <c r="V52" s="8"/>
      <c r="W52" s="18"/>
      <c r="X52" s="8"/>
      <c r="Y52" s="18"/>
      <c r="Z52" s="8"/>
      <c r="AA52" s="18"/>
      <c r="AB52" s="8"/>
      <c r="AC52" s="18"/>
      <c r="AD52" s="8"/>
      <c r="AE52" s="18"/>
      <c r="AF52" s="6"/>
    </row>
    <row r="53" spans="2:63" ht="5.25" customHeight="1" x14ac:dyDescent="0.25">
      <c r="B53" s="15"/>
      <c r="C53" s="10"/>
      <c r="D53" s="16"/>
      <c r="E53" s="16"/>
      <c r="F53" s="16"/>
      <c r="G53" s="17"/>
      <c r="H53" s="6"/>
      <c r="J53" s="6"/>
      <c r="L53" s="6"/>
      <c r="N53" s="6"/>
      <c r="P53" s="6"/>
      <c r="R53" s="6"/>
      <c r="T53" s="6"/>
      <c r="V53" s="6"/>
      <c r="X53" s="6"/>
      <c r="Z53" s="6"/>
      <c r="AB53" s="6"/>
      <c r="AD53" s="6"/>
      <c r="AF53" s="6"/>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spans="2:63" ht="15" customHeight="1" x14ac:dyDescent="0.25">
      <c r="B54" s="34" t="s">
        <v>13</v>
      </c>
      <c r="C54" s="35"/>
      <c r="D54" s="16"/>
      <c r="E54" s="18"/>
      <c r="F54" s="16"/>
      <c r="G54" s="20"/>
      <c r="H54" s="8"/>
      <c r="I54" s="18"/>
      <c r="J54" s="8"/>
      <c r="K54" s="18"/>
      <c r="L54" s="8"/>
      <c r="M54" s="18"/>
      <c r="N54" s="8"/>
      <c r="O54" s="18"/>
      <c r="P54" s="8"/>
      <c r="Q54" s="18"/>
      <c r="R54" s="8"/>
      <c r="S54" s="18"/>
      <c r="T54" s="8"/>
      <c r="U54" s="18"/>
      <c r="V54" s="8"/>
      <c r="W54" s="18"/>
      <c r="X54" s="8"/>
      <c r="Y54" s="18"/>
      <c r="Z54" s="8"/>
      <c r="AA54" s="18"/>
      <c r="AB54" s="8"/>
      <c r="AC54" s="18"/>
      <c r="AD54" s="8"/>
      <c r="AE54" s="18"/>
      <c r="AF54" s="6"/>
    </row>
    <row r="55" spans="2:63" ht="5.25" customHeight="1" x14ac:dyDescent="0.25">
      <c r="B55" s="15"/>
      <c r="C55" s="10"/>
      <c r="D55" s="16"/>
      <c r="E55" s="16"/>
      <c r="F55" s="16"/>
      <c r="G55" s="17"/>
      <c r="H55" s="6"/>
      <c r="J55" s="6"/>
      <c r="L55" s="6"/>
      <c r="N55" s="6"/>
      <c r="P55" s="6"/>
      <c r="R55" s="6"/>
      <c r="T55" s="6"/>
      <c r="V55" s="6"/>
      <c r="X55" s="6"/>
      <c r="Z55" s="6"/>
      <c r="AB55" s="6"/>
      <c r="AD55" s="6"/>
      <c r="AF55" s="6"/>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spans="2:63" ht="15" customHeight="1" x14ac:dyDescent="0.25">
      <c r="B56" s="34" t="s">
        <v>14</v>
      </c>
      <c r="C56" s="35"/>
      <c r="D56" s="16"/>
      <c r="E56" s="18"/>
      <c r="F56" s="19"/>
      <c r="G56" s="20"/>
      <c r="H56" s="8"/>
      <c r="I56" s="18"/>
      <c r="J56" s="8"/>
      <c r="K56" s="18"/>
      <c r="L56" s="8"/>
      <c r="M56" s="18"/>
      <c r="N56" s="8"/>
      <c r="O56" s="18"/>
      <c r="P56" s="8"/>
      <c r="Q56" s="18"/>
      <c r="R56" s="8"/>
      <c r="S56" s="18"/>
      <c r="T56" s="8"/>
      <c r="U56" s="18"/>
      <c r="V56" s="8"/>
      <c r="W56" s="18"/>
      <c r="X56" s="8"/>
      <c r="Y56" s="18"/>
      <c r="Z56" s="8"/>
      <c r="AA56" s="18"/>
      <c r="AB56" s="8"/>
      <c r="AC56" s="18"/>
      <c r="AD56" s="8"/>
      <c r="AE56" s="18"/>
      <c r="AF56" s="6"/>
    </row>
    <row r="57" spans="2:63" ht="5.25" customHeight="1" x14ac:dyDescent="0.25">
      <c r="B57" s="15"/>
      <c r="C57" s="10"/>
      <c r="D57" s="16"/>
      <c r="E57" s="16"/>
      <c r="F57" s="16"/>
      <c r="G57" s="17"/>
      <c r="H57" s="6"/>
      <c r="J57" s="6"/>
      <c r="L57" s="6"/>
      <c r="N57" s="6"/>
      <c r="P57" s="6"/>
      <c r="R57" s="6"/>
      <c r="T57" s="6"/>
      <c r="V57" s="6"/>
      <c r="X57" s="6"/>
      <c r="Z57" s="6"/>
      <c r="AB57" s="6"/>
      <c r="AD57" s="6"/>
      <c r="AF57" s="6"/>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spans="2:63" ht="15" customHeight="1" x14ac:dyDescent="0.25">
      <c r="B58" s="34"/>
      <c r="C58" s="35"/>
      <c r="D58" s="16"/>
      <c r="E58" s="18"/>
      <c r="F58" s="19"/>
      <c r="G58" s="20"/>
      <c r="H58" s="8"/>
      <c r="I58" s="18"/>
      <c r="J58" s="8"/>
      <c r="K58" s="18"/>
      <c r="L58" s="8"/>
      <c r="M58" s="18"/>
      <c r="N58" s="8"/>
      <c r="O58" s="18"/>
      <c r="P58" s="8"/>
      <c r="Q58" s="18"/>
      <c r="R58" s="8"/>
      <c r="S58" s="18"/>
      <c r="T58" s="8"/>
      <c r="U58" s="18"/>
      <c r="V58" s="8"/>
      <c r="W58" s="18"/>
      <c r="X58" s="8"/>
      <c r="Y58" s="18"/>
      <c r="Z58" s="8"/>
      <c r="AA58" s="18"/>
      <c r="AB58" s="8"/>
      <c r="AC58" s="18"/>
      <c r="AD58" s="8"/>
      <c r="AE58" s="18"/>
      <c r="AF58" s="6"/>
    </row>
    <row r="59" spans="2:63" ht="5.25" customHeight="1" x14ac:dyDescent="0.25">
      <c r="B59" s="15"/>
      <c r="C59" s="10"/>
      <c r="D59" s="6"/>
      <c r="E59" s="16"/>
      <c r="F59" s="16"/>
      <c r="G59" s="17"/>
      <c r="H59" s="6"/>
      <c r="J59" s="6"/>
      <c r="L59" s="6"/>
      <c r="N59" s="6"/>
      <c r="P59" s="6"/>
      <c r="R59" s="6"/>
      <c r="T59" s="6"/>
      <c r="V59" s="6"/>
      <c r="X59" s="6"/>
      <c r="Z59" s="6"/>
      <c r="AB59" s="6"/>
      <c r="AD59" s="6"/>
      <c r="AF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spans="2:63" x14ac:dyDescent="0.25">
      <c r="B60" s="34"/>
      <c r="C60" s="35"/>
      <c r="D60" s="16"/>
      <c r="E60" s="18"/>
      <c r="F60" s="19"/>
      <c r="G60" s="20"/>
      <c r="H60" s="8"/>
      <c r="I60" s="18"/>
      <c r="J60" s="8"/>
      <c r="K60" s="18"/>
      <c r="L60" s="8"/>
      <c r="M60" s="18"/>
      <c r="N60" s="8"/>
      <c r="O60" s="18"/>
      <c r="P60" s="8"/>
      <c r="Q60" s="18"/>
      <c r="R60" s="8"/>
      <c r="S60" s="18"/>
      <c r="T60" s="8"/>
      <c r="U60" s="18"/>
      <c r="V60" s="8"/>
      <c r="W60" s="18"/>
      <c r="X60" s="8"/>
      <c r="Y60" s="18"/>
      <c r="Z60" s="8"/>
      <c r="AA60" s="18"/>
      <c r="AB60" s="8"/>
      <c r="AC60" s="18"/>
      <c r="AD60" s="8"/>
      <c r="AE60" s="18"/>
      <c r="AF60" s="6"/>
    </row>
    <row r="61" spans="2:63" ht="5.25" customHeight="1" x14ac:dyDescent="0.25">
      <c r="B61" s="15"/>
      <c r="C61" s="10"/>
      <c r="D61" s="16"/>
      <c r="E61" s="16"/>
      <c r="F61" s="16"/>
      <c r="G61" s="17"/>
      <c r="H61" s="6"/>
      <c r="J61" s="6"/>
      <c r="L61" s="6"/>
      <c r="N61" s="6"/>
      <c r="P61" s="6"/>
      <c r="R61" s="6"/>
      <c r="T61" s="6"/>
      <c r="V61" s="6"/>
      <c r="X61" s="6"/>
      <c r="Z61" s="6"/>
      <c r="AB61" s="6"/>
      <c r="AD61" s="6"/>
      <c r="AF61" s="6"/>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row>
    <row r="62" spans="2:63" x14ac:dyDescent="0.25">
      <c r="B62" s="34"/>
      <c r="C62" s="35"/>
      <c r="D62" s="16"/>
      <c r="E62" s="18"/>
      <c r="F62" s="16"/>
      <c r="G62" s="20"/>
      <c r="H62" s="8"/>
      <c r="I62" s="18"/>
      <c r="J62" s="8"/>
      <c r="K62" s="18"/>
      <c r="L62" s="8"/>
      <c r="M62" s="18"/>
      <c r="N62" s="8"/>
      <c r="O62" s="18"/>
      <c r="P62" s="8"/>
      <c r="Q62" s="18"/>
      <c r="R62" s="8"/>
      <c r="S62" s="18"/>
      <c r="T62" s="8"/>
      <c r="U62" s="18"/>
      <c r="V62" s="8"/>
      <c r="W62" s="18"/>
      <c r="X62" s="8"/>
      <c r="Y62" s="18"/>
      <c r="Z62" s="8"/>
      <c r="AA62" s="18"/>
      <c r="AB62" s="8"/>
      <c r="AC62" s="18"/>
      <c r="AD62" s="8"/>
      <c r="AE62" s="18"/>
      <c r="AF62" s="6"/>
    </row>
    <row r="63" spans="2:63" ht="5.25" customHeight="1" x14ac:dyDescent="0.25">
      <c r="B63" s="15"/>
      <c r="C63" s="10"/>
      <c r="D63" s="16"/>
      <c r="E63" s="16"/>
      <c r="F63" s="16"/>
      <c r="G63" s="17"/>
      <c r="H63" s="6"/>
      <c r="J63" s="6"/>
      <c r="L63" s="6"/>
      <c r="N63" s="6"/>
      <c r="P63" s="6"/>
      <c r="R63" s="6"/>
      <c r="T63" s="6"/>
      <c r="V63" s="6"/>
      <c r="X63" s="6"/>
      <c r="Z63" s="6"/>
      <c r="AB63" s="6"/>
      <c r="AD63" s="6"/>
      <c r="AF63" s="6"/>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row>
    <row r="64" spans="2:63" x14ac:dyDescent="0.25">
      <c r="B64" s="34"/>
      <c r="C64" s="35"/>
      <c r="D64" s="16"/>
      <c r="E64" s="18"/>
      <c r="F64" s="19"/>
      <c r="G64" s="20"/>
      <c r="H64" s="8"/>
      <c r="I64" s="18"/>
      <c r="J64" s="8"/>
      <c r="K64" s="18"/>
      <c r="L64" s="8"/>
      <c r="M64" s="18"/>
      <c r="N64" s="8"/>
      <c r="O64" s="18"/>
      <c r="P64" s="8"/>
      <c r="Q64" s="18"/>
      <c r="R64" s="8"/>
      <c r="S64" s="18"/>
      <c r="T64" s="8"/>
      <c r="U64" s="18"/>
      <c r="V64" s="8"/>
      <c r="W64" s="18"/>
      <c r="X64" s="8"/>
      <c r="Y64" s="18"/>
      <c r="Z64" s="8"/>
      <c r="AA64" s="18"/>
      <c r="AB64" s="8"/>
      <c r="AC64" s="18"/>
      <c r="AD64" s="8"/>
      <c r="AE64" s="18"/>
      <c r="AF64" s="6"/>
    </row>
    <row r="65" spans="2:63" ht="5.25" customHeight="1" x14ac:dyDescent="0.25">
      <c r="B65" s="15"/>
      <c r="C65" s="10"/>
      <c r="D65" s="16"/>
      <c r="E65" s="16"/>
      <c r="F65" s="16"/>
      <c r="G65" s="17"/>
      <c r="H65" s="6"/>
      <c r="J65" s="6"/>
      <c r="L65" s="6"/>
      <c r="N65" s="6"/>
      <c r="P65" s="6"/>
      <c r="R65" s="6"/>
      <c r="T65" s="6"/>
      <c r="V65" s="6"/>
      <c r="X65" s="6"/>
      <c r="Z65" s="6"/>
      <c r="AB65" s="6"/>
      <c r="AD65" s="6"/>
      <c r="AF65" s="6"/>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row>
    <row r="66" spans="2:63" x14ac:dyDescent="0.25">
      <c r="B66" s="34"/>
      <c r="C66" s="35"/>
      <c r="D66" s="16"/>
      <c r="E66" s="18"/>
      <c r="F66" s="19"/>
      <c r="G66" s="20"/>
      <c r="H66" s="8"/>
      <c r="I66" s="18"/>
      <c r="J66" s="8"/>
      <c r="K66" s="18"/>
      <c r="L66" s="8"/>
      <c r="M66" s="18"/>
      <c r="N66" s="8"/>
      <c r="O66" s="18"/>
      <c r="P66" s="8"/>
      <c r="Q66" s="18"/>
      <c r="R66" s="8"/>
      <c r="S66" s="18"/>
      <c r="T66" s="8"/>
      <c r="U66" s="18"/>
      <c r="V66" s="8"/>
      <c r="W66" s="18"/>
      <c r="X66" s="8"/>
      <c r="Y66" s="18"/>
      <c r="Z66" s="8"/>
      <c r="AA66" s="18"/>
      <c r="AB66" s="8"/>
      <c r="AC66" s="18"/>
      <c r="AD66" s="8"/>
      <c r="AE66" s="18"/>
      <c r="AF66" s="6"/>
    </row>
    <row r="67" spans="2:63" ht="5.25" customHeight="1" x14ac:dyDescent="0.25">
      <c r="B67" s="15"/>
      <c r="C67" s="10"/>
      <c r="D67" s="16"/>
      <c r="E67" s="16"/>
      <c r="F67" s="16"/>
      <c r="G67" s="17"/>
      <c r="H67" s="6"/>
      <c r="J67" s="6"/>
      <c r="L67" s="6"/>
      <c r="N67" s="6"/>
      <c r="P67" s="6"/>
      <c r="R67" s="6"/>
      <c r="T67" s="6"/>
      <c r="V67" s="6"/>
      <c r="X67" s="6"/>
      <c r="Z67" s="6"/>
      <c r="AB67" s="6"/>
      <c r="AD67" s="6"/>
      <c r="AF67" s="6"/>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row>
    <row r="68" spans="2:63" x14ac:dyDescent="0.25">
      <c r="B68" s="9"/>
      <c r="C68" s="10"/>
      <c r="D68" s="6"/>
      <c r="E68" s="22"/>
      <c r="F68" s="10"/>
      <c r="G68" s="23"/>
      <c r="H68" s="6"/>
      <c r="J68" s="6"/>
      <c r="L68" s="6"/>
      <c r="N68" s="6"/>
      <c r="P68" s="6"/>
      <c r="R68" s="6"/>
      <c r="T68" s="6"/>
      <c r="V68" s="6"/>
      <c r="X68" s="6"/>
      <c r="Z68" s="6"/>
      <c r="AB68" s="6"/>
      <c r="AD68" s="6"/>
      <c r="AF68" s="6"/>
    </row>
    <row r="69" spans="2:63" x14ac:dyDescent="0.25">
      <c r="B69" s="9"/>
      <c r="C69" s="10"/>
      <c r="D69" s="6"/>
      <c r="E69" s="22"/>
      <c r="F69" s="10"/>
      <c r="G69" s="23"/>
      <c r="H69" s="6"/>
      <c r="J69" s="6"/>
      <c r="L69" s="6"/>
      <c r="N69" s="6"/>
      <c r="P69" s="6"/>
      <c r="R69" s="6"/>
      <c r="T69" s="6"/>
      <c r="V69" s="6"/>
      <c r="X69" s="6"/>
      <c r="Z69" s="6"/>
      <c r="AB69" s="6"/>
      <c r="AD69" s="6"/>
      <c r="AF69" s="6"/>
    </row>
    <row r="70" spans="2:63" x14ac:dyDescent="0.25">
      <c r="B70" s="9"/>
      <c r="C70" s="10"/>
      <c r="D70" s="6"/>
      <c r="E70" s="22"/>
      <c r="F70" s="10"/>
      <c r="G70" s="23"/>
      <c r="H70" s="6"/>
      <c r="J70" s="6"/>
      <c r="L70" s="6"/>
      <c r="N70" s="6"/>
      <c r="P70" s="6"/>
      <c r="R70" s="6"/>
      <c r="T70" s="6"/>
      <c r="V70" s="6"/>
      <c r="X70" s="6"/>
      <c r="Z70" s="6"/>
      <c r="AB70" s="6"/>
      <c r="AD70" s="6"/>
      <c r="AF70" s="6"/>
    </row>
    <row r="71" spans="2:63" x14ac:dyDescent="0.25">
      <c r="B71" s="9"/>
      <c r="C71" s="10"/>
      <c r="D71" s="6"/>
      <c r="E71" s="22"/>
      <c r="F71" s="10"/>
      <c r="G71" s="23"/>
      <c r="H71" s="6"/>
      <c r="J71" s="6"/>
      <c r="L71" s="6"/>
      <c r="N71" s="6"/>
      <c r="P71" s="6"/>
      <c r="R71" s="6"/>
      <c r="T71" s="6"/>
      <c r="V71" s="6"/>
      <c r="X71" s="6"/>
      <c r="Z71" s="6"/>
      <c r="AB71" s="6"/>
      <c r="AD71" s="6"/>
      <c r="AF71" s="6"/>
    </row>
    <row r="72" spans="2:63" x14ac:dyDescent="0.25">
      <c r="B72" s="9"/>
      <c r="C72" s="10"/>
      <c r="D72" s="6"/>
      <c r="E72" s="22"/>
      <c r="F72" s="10"/>
      <c r="G72" s="23"/>
      <c r="H72" s="6"/>
      <c r="J72" s="6"/>
      <c r="L72" s="6"/>
      <c r="N72" s="6"/>
      <c r="P72" s="6"/>
      <c r="R72" s="6"/>
      <c r="T72" s="6"/>
      <c r="V72" s="6"/>
      <c r="X72" s="6"/>
      <c r="Z72" s="6"/>
      <c r="AB72" s="6"/>
      <c r="AD72" s="6"/>
      <c r="AF72" s="6"/>
    </row>
    <row r="73" spans="2:63" x14ac:dyDescent="0.25">
      <c r="B73" s="9"/>
      <c r="C73" s="10"/>
      <c r="D73" s="6"/>
      <c r="E73" s="22"/>
      <c r="F73" s="10"/>
      <c r="G73" s="23"/>
      <c r="H73" s="6"/>
      <c r="J73" s="6"/>
      <c r="L73" s="6"/>
      <c r="N73" s="6"/>
      <c r="P73" s="6"/>
      <c r="R73" s="6"/>
      <c r="T73" s="6"/>
      <c r="V73" s="6"/>
      <c r="X73" s="6"/>
      <c r="Z73" s="6"/>
      <c r="AB73" s="6"/>
      <c r="AD73" s="6"/>
      <c r="AF73" s="6"/>
    </row>
    <row r="74" spans="2:63" x14ac:dyDescent="0.25">
      <c r="B74" s="9"/>
      <c r="C74" s="10"/>
      <c r="D74" s="6"/>
      <c r="E74" s="22"/>
      <c r="F74" s="10"/>
      <c r="G74" s="23"/>
      <c r="H74" s="6"/>
      <c r="J74" s="6"/>
      <c r="L74" s="6"/>
      <c r="N74" s="6"/>
      <c r="P74" s="6"/>
      <c r="R74" s="6"/>
      <c r="T74" s="6"/>
      <c r="V74" s="6"/>
      <c r="X74" s="6"/>
      <c r="Z74" s="6"/>
      <c r="AB74" s="6"/>
      <c r="AD74" s="6"/>
      <c r="AF74" s="6"/>
    </row>
    <row r="75" spans="2:63" x14ac:dyDescent="0.25">
      <c r="B75" s="9"/>
      <c r="C75" s="10"/>
      <c r="D75" s="6"/>
      <c r="E75" s="22"/>
      <c r="F75" s="10"/>
      <c r="G75" s="23"/>
      <c r="H75" s="6"/>
      <c r="J75" s="6"/>
      <c r="L75" s="6"/>
      <c r="N75" s="6"/>
      <c r="P75" s="6"/>
      <c r="R75" s="6"/>
      <c r="T75" s="6"/>
      <c r="V75" s="6"/>
      <c r="X75" s="6"/>
      <c r="Z75" s="6"/>
      <c r="AB75" s="6"/>
      <c r="AD75" s="6"/>
      <c r="AF75" s="6"/>
    </row>
    <row r="76" spans="2:63" x14ac:dyDescent="0.25">
      <c r="B76" s="9"/>
      <c r="C76" s="10"/>
      <c r="D76" s="6"/>
      <c r="E76" s="22"/>
      <c r="F76" s="10"/>
      <c r="G76" s="23"/>
      <c r="H76" s="6"/>
      <c r="J76" s="6"/>
      <c r="L76" s="6"/>
      <c r="N76" s="6"/>
      <c r="P76" s="6"/>
      <c r="R76" s="6"/>
      <c r="T76" s="6"/>
      <c r="V76" s="6"/>
      <c r="X76" s="6"/>
      <c r="Z76" s="6"/>
      <c r="AB76" s="6"/>
      <c r="AD76" s="6"/>
      <c r="AF76" s="6"/>
    </row>
    <row r="77" spans="2:63" x14ac:dyDescent="0.25">
      <c r="B77" s="9"/>
      <c r="C77" s="10"/>
      <c r="D77" s="6"/>
      <c r="E77" s="22"/>
      <c r="F77" s="10"/>
      <c r="G77" s="23"/>
      <c r="H77" s="6"/>
      <c r="J77" s="6"/>
      <c r="L77" s="6"/>
      <c r="N77" s="6"/>
      <c r="P77" s="6"/>
      <c r="R77" s="6"/>
      <c r="T77" s="6"/>
      <c r="V77" s="6"/>
      <c r="X77" s="6"/>
      <c r="Z77" s="6"/>
      <c r="AB77" s="6"/>
      <c r="AD77" s="6"/>
      <c r="AF77" s="6"/>
    </row>
    <row r="78" spans="2:63" x14ac:dyDescent="0.25">
      <c r="B78" s="9"/>
      <c r="C78" s="10"/>
      <c r="D78" s="6"/>
      <c r="E78" s="22"/>
      <c r="F78" s="10"/>
      <c r="G78" s="23"/>
      <c r="H78" s="6"/>
      <c r="J78" s="6"/>
      <c r="L78" s="6"/>
      <c r="N78" s="6"/>
      <c r="P78" s="6"/>
      <c r="R78" s="6"/>
      <c r="T78" s="6"/>
      <c r="V78" s="6"/>
      <c r="X78" s="6"/>
      <c r="Z78" s="6"/>
      <c r="AB78" s="6"/>
      <c r="AD78" s="6"/>
      <c r="AF78" s="6"/>
    </row>
    <row r="79" spans="2:63" x14ac:dyDescent="0.25">
      <c r="B79" s="9"/>
      <c r="C79" s="10"/>
      <c r="D79" s="6"/>
      <c r="E79" s="10"/>
      <c r="F79" s="10"/>
      <c r="H79" s="6"/>
      <c r="J79" s="6"/>
      <c r="L79" s="6"/>
      <c r="N79" s="6"/>
      <c r="P79" s="6"/>
      <c r="R79" s="6"/>
      <c r="T79" s="6"/>
      <c r="V79" s="6"/>
      <c r="X79" s="6"/>
      <c r="Z79" s="6"/>
      <c r="AB79" s="6"/>
      <c r="AD79" s="6"/>
      <c r="AF79" s="6"/>
    </row>
  </sheetData>
  <mergeCells count="34">
    <mergeCell ref="B60:C60"/>
    <mergeCell ref="B62:C62"/>
    <mergeCell ref="B64:C64"/>
    <mergeCell ref="B66:C66"/>
    <mergeCell ref="B20:C20"/>
    <mergeCell ref="E2:G3"/>
    <mergeCell ref="B2:C4"/>
    <mergeCell ref="I2:AE3"/>
    <mergeCell ref="B6:C6"/>
    <mergeCell ref="B10:C10"/>
    <mergeCell ref="B8:C8"/>
    <mergeCell ref="B12:C12"/>
    <mergeCell ref="B14:C14"/>
    <mergeCell ref="B16:C16"/>
    <mergeCell ref="B18:C18"/>
    <mergeCell ref="B22:C22"/>
    <mergeCell ref="B24:C24"/>
    <mergeCell ref="B44:C44"/>
    <mergeCell ref="B48:C48"/>
    <mergeCell ref="B58:C58"/>
    <mergeCell ref="B26:C26"/>
    <mergeCell ref="B32:C32"/>
    <mergeCell ref="B36:C36"/>
    <mergeCell ref="B38:C38"/>
    <mergeCell ref="B42:C42"/>
    <mergeCell ref="B46:C46"/>
    <mergeCell ref="B54:C54"/>
    <mergeCell ref="B56:C56"/>
    <mergeCell ref="B50:C50"/>
    <mergeCell ref="B28:C28"/>
    <mergeCell ref="B40:C40"/>
    <mergeCell ref="B30:C30"/>
    <mergeCell ref="B34:C34"/>
    <mergeCell ref="B52:C52"/>
  </mergeCells>
  <pageMargins left="0.511811024" right="0.511811024" top="0.78740157499999996" bottom="0.78740157499999996" header="0.31496062000000002" footer="0.31496062000000002"/>
  <ignoredErrors>
    <ignoredError sqref="H6 H8 H10 H12 H16 H18 H20 H24" emptyCellReferenc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49ABE-6656-418B-9518-93849AD60BED}">
  <dimension ref="A1:R29"/>
  <sheetViews>
    <sheetView tabSelected="1" topLeftCell="A9" workbookViewId="0">
      <selection activeCell="J25" sqref="J25"/>
    </sheetView>
  </sheetViews>
  <sheetFormatPr defaultRowHeight="15" x14ac:dyDescent="0.25"/>
  <cols>
    <col min="5" max="6" width="9.140625" style="28"/>
    <col min="7" max="7" width="10.5703125" style="28" customWidth="1"/>
    <col min="8" max="8" width="13.7109375" style="28" bestFit="1" customWidth="1"/>
    <col min="9" max="9" width="14.7109375" style="28" bestFit="1" customWidth="1"/>
    <col min="10" max="10" width="14.28515625" bestFit="1" customWidth="1"/>
  </cols>
  <sheetData>
    <row r="1" spans="1:18" ht="15.75" thickBot="1" x14ac:dyDescent="0.3">
      <c r="C1" s="77"/>
      <c r="D1" s="77"/>
    </row>
    <row r="2" spans="1:18" x14ac:dyDescent="0.25">
      <c r="A2" s="89" t="s">
        <v>57</v>
      </c>
      <c r="B2" s="90"/>
      <c r="C2" s="91"/>
      <c r="D2" s="28"/>
    </row>
    <row r="3" spans="1:18" x14ac:dyDescent="0.25">
      <c r="A3" s="92" t="s">
        <v>58</v>
      </c>
      <c r="B3" s="88"/>
      <c r="C3" s="93">
        <v>2025</v>
      </c>
      <c r="D3" s="28"/>
    </row>
    <row r="4" spans="1:18" x14ac:dyDescent="0.25">
      <c r="A4" s="92" t="s">
        <v>59</v>
      </c>
      <c r="B4" s="88"/>
      <c r="C4" s="93" t="s">
        <v>39</v>
      </c>
      <c r="D4" s="28"/>
      <c r="I4" s="29"/>
    </row>
    <row r="5" spans="1:18" ht="15.75" thickBot="1" x14ac:dyDescent="0.3">
      <c r="A5" s="94" t="s">
        <v>60</v>
      </c>
      <c r="B5" s="95"/>
      <c r="C5" s="96">
        <v>500</v>
      </c>
      <c r="D5" s="28"/>
      <c r="H5" s="126"/>
      <c r="I5" s="30"/>
    </row>
    <row r="6" spans="1:18" x14ac:dyDescent="0.25">
      <c r="C6" s="28"/>
      <c r="D6" s="28"/>
      <c r="I6" s="29"/>
    </row>
    <row r="7" spans="1:18" x14ac:dyDescent="0.25">
      <c r="C7" s="28"/>
      <c r="D7" s="28"/>
      <c r="I7" s="30"/>
      <c r="K7" t="s">
        <v>68</v>
      </c>
    </row>
    <row r="8" spans="1:18" ht="15" customHeight="1" x14ac:dyDescent="0.25">
      <c r="C8" s="28"/>
      <c r="D8" s="28"/>
      <c r="J8" s="31"/>
    </row>
    <row r="9" spans="1:18" ht="15" customHeight="1" thickBot="1" x14ac:dyDescent="0.3">
      <c r="F9" s="24"/>
      <c r="G9" s="24"/>
      <c r="H9" s="24"/>
      <c r="I9" s="24"/>
      <c r="J9" s="31"/>
    </row>
    <row r="10" spans="1:18" s="10" customFormat="1" ht="15" customHeight="1" x14ac:dyDescent="0.25">
      <c r="E10" s="106" t="s">
        <v>41</v>
      </c>
      <c r="F10" s="107" t="s">
        <v>24</v>
      </c>
      <c r="G10" s="108" t="s">
        <v>42</v>
      </c>
      <c r="H10" s="108" t="s">
        <v>43</v>
      </c>
      <c r="I10" s="109" t="s">
        <v>65</v>
      </c>
      <c r="J10" s="32"/>
      <c r="K10" s="98" t="s">
        <v>62</v>
      </c>
      <c r="L10" s="98"/>
      <c r="M10" s="98"/>
      <c r="N10" s="98"/>
      <c r="O10" s="98"/>
      <c r="P10" s="98"/>
    </row>
    <row r="11" spans="1:18" s="10" customFormat="1" ht="15" customHeight="1" thickBot="1" x14ac:dyDescent="0.3">
      <c r="E11" s="110"/>
      <c r="F11" s="111"/>
      <c r="G11" s="112"/>
      <c r="H11" s="112"/>
      <c r="I11" s="113"/>
      <c r="K11" s="99" t="s">
        <v>61</v>
      </c>
      <c r="L11" s="99"/>
      <c r="M11" s="31"/>
      <c r="N11" s="31"/>
      <c r="O11" s="31"/>
      <c r="P11" s="31"/>
      <c r="Q11" s="31"/>
    </row>
    <row r="12" spans="1:18" ht="15" customHeight="1" x14ac:dyDescent="0.25">
      <c r="E12" s="114">
        <v>2026</v>
      </c>
      <c r="F12" s="103" t="s">
        <v>29</v>
      </c>
      <c r="G12" s="104">
        <v>9</v>
      </c>
      <c r="H12" s="105">
        <f>IF(AND(G12="",$G$24&lt;12),"",G12/G23)</f>
        <v>1.125</v>
      </c>
      <c r="I12" s="115">
        <f>(IF(OR($C$4="",$C$5=""),"",IF(F12=$C$4,$C$5,H12*I23)))</f>
        <v>642.85714285714289</v>
      </c>
      <c r="J12" s="31"/>
      <c r="K12" s="97" t="s">
        <v>63</v>
      </c>
      <c r="L12" s="97"/>
      <c r="M12" s="97"/>
      <c r="N12" s="97"/>
      <c r="O12" s="97"/>
      <c r="P12" s="97"/>
      <c r="Q12" s="97"/>
      <c r="R12" s="97"/>
    </row>
    <row r="13" spans="1:18" ht="15" customHeight="1" x14ac:dyDescent="0.25">
      <c r="E13" s="116">
        <v>2026</v>
      </c>
      <c r="F13" s="87" t="s">
        <v>30</v>
      </c>
      <c r="G13" s="101">
        <v>8</v>
      </c>
      <c r="H13" s="102">
        <f>IF(AND(G13="",$G$24&lt;12),"",G13/G12)</f>
        <v>0.88888888888888884</v>
      </c>
      <c r="I13" s="117">
        <f>(IF(OR($C$4="",$C$5=""),"",IF(F13=$C$4,$C$5,H13*I12)))</f>
        <v>571.42857142857144</v>
      </c>
      <c r="J13" s="31"/>
      <c r="K13" s="99" t="s">
        <v>64</v>
      </c>
      <c r="L13" s="99"/>
      <c r="M13" s="99"/>
      <c r="N13" s="99"/>
      <c r="O13" s="99"/>
      <c r="P13" s="99"/>
      <c r="Q13" s="99"/>
      <c r="R13" s="99"/>
    </row>
    <row r="14" spans="1:18" ht="15" customHeight="1" x14ac:dyDescent="0.25">
      <c r="E14" s="116">
        <v>2026</v>
      </c>
      <c r="F14" s="87" t="s">
        <v>31</v>
      </c>
      <c r="G14" s="101">
        <v>2</v>
      </c>
      <c r="H14" s="102">
        <f>IF(AND(G14="",$G$24&lt;12),"",G14/G13)</f>
        <v>0.25</v>
      </c>
      <c r="I14" s="117">
        <f t="shared" ref="I14:I20" si="0">(IF(OR($C$4="",$C$5=""),"",IF(F14=$C$4,$C$5,H14*I13)))</f>
        <v>142.85714285714286</v>
      </c>
      <c r="J14" s="31"/>
      <c r="K14" s="99"/>
      <c r="L14" s="99"/>
      <c r="M14" s="99"/>
      <c r="N14" s="99"/>
      <c r="O14" s="99"/>
      <c r="P14" s="99"/>
      <c r="Q14" s="99"/>
      <c r="R14" s="99"/>
    </row>
    <row r="15" spans="1:18" x14ac:dyDescent="0.25">
      <c r="E15" s="116">
        <v>2026</v>
      </c>
      <c r="F15" s="87" t="s">
        <v>32</v>
      </c>
      <c r="G15" s="101">
        <v>1</v>
      </c>
      <c r="H15" s="102">
        <f t="shared" ref="H15:H23" si="1">IF(AND(G15="",$G$24&lt;12),"",G15/G14)</f>
        <v>0.5</v>
      </c>
      <c r="I15" s="117">
        <f t="shared" si="0"/>
        <v>71.428571428571431</v>
      </c>
      <c r="J15" s="31"/>
      <c r="K15" s="31"/>
      <c r="L15" s="31"/>
      <c r="M15" s="31"/>
      <c r="N15" s="31"/>
      <c r="O15" s="31"/>
      <c r="P15" s="31"/>
      <c r="Q15" s="31"/>
    </row>
    <row r="16" spans="1:18" ht="15" customHeight="1" x14ac:dyDescent="0.25">
      <c r="E16" s="116">
        <v>2026</v>
      </c>
      <c r="F16" s="87" t="s">
        <v>33</v>
      </c>
      <c r="G16" s="101">
        <v>7</v>
      </c>
      <c r="H16" s="102">
        <f t="shared" si="1"/>
        <v>7</v>
      </c>
      <c r="I16" s="117">
        <f t="shared" si="0"/>
        <v>500</v>
      </c>
      <c r="J16" s="31"/>
      <c r="K16" s="100" t="s">
        <v>66</v>
      </c>
      <c r="L16" s="100"/>
      <c r="M16" s="100"/>
    </row>
    <row r="17" spans="3:18" ht="15" customHeight="1" x14ac:dyDescent="0.25">
      <c r="E17" s="116">
        <v>2026</v>
      </c>
      <c r="F17" s="87" t="s">
        <v>34</v>
      </c>
      <c r="G17" s="101">
        <v>6</v>
      </c>
      <c r="H17" s="102">
        <f t="shared" si="1"/>
        <v>0.8571428571428571</v>
      </c>
      <c r="I17" s="117">
        <f t="shared" si="0"/>
        <v>428.57142857142856</v>
      </c>
      <c r="J17" s="31"/>
      <c r="K17" s="125" t="s">
        <v>67</v>
      </c>
      <c r="L17" s="125"/>
      <c r="M17" s="125"/>
      <c r="N17" s="125"/>
      <c r="O17" s="125"/>
      <c r="P17" s="125"/>
      <c r="Q17" s="125"/>
      <c r="R17" s="125"/>
    </row>
    <row r="18" spans="3:18" x14ac:dyDescent="0.25">
      <c r="E18" s="116">
        <v>2026</v>
      </c>
      <c r="F18" s="87" t="s">
        <v>35</v>
      </c>
      <c r="G18" s="101">
        <v>8</v>
      </c>
      <c r="H18" s="102">
        <f t="shared" si="1"/>
        <v>1.3333333333333333</v>
      </c>
      <c r="I18" s="117">
        <f t="shared" si="0"/>
        <v>571.42857142857133</v>
      </c>
      <c r="J18" s="31"/>
      <c r="K18" s="125"/>
      <c r="L18" s="125"/>
      <c r="M18" s="125"/>
      <c r="N18" s="125"/>
      <c r="O18" s="125"/>
      <c r="P18" s="125"/>
      <c r="Q18" s="125"/>
      <c r="R18" s="125"/>
    </row>
    <row r="19" spans="3:18" x14ac:dyDescent="0.25">
      <c r="E19" s="116">
        <v>2026</v>
      </c>
      <c r="F19" s="87" t="s">
        <v>36</v>
      </c>
      <c r="G19" s="101">
        <v>4</v>
      </c>
      <c r="H19" s="102">
        <f t="shared" si="1"/>
        <v>0.5</v>
      </c>
      <c r="I19" s="117">
        <f t="shared" si="0"/>
        <v>285.71428571428567</v>
      </c>
      <c r="J19" s="31"/>
      <c r="K19" s="125"/>
      <c r="L19" s="125"/>
      <c r="M19" s="125"/>
      <c r="N19" s="125"/>
      <c r="O19" s="125"/>
      <c r="P19" s="125"/>
      <c r="Q19" s="125"/>
      <c r="R19" s="125"/>
    </row>
    <row r="20" spans="3:18" ht="15" customHeight="1" x14ac:dyDescent="0.25">
      <c r="E20" s="116">
        <v>2026</v>
      </c>
      <c r="F20" s="87" t="s">
        <v>37</v>
      </c>
      <c r="G20" s="101">
        <v>3</v>
      </c>
      <c r="H20" s="102">
        <f t="shared" si="1"/>
        <v>0.75</v>
      </c>
      <c r="I20" s="117">
        <f t="shared" si="0"/>
        <v>214.28571428571425</v>
      </c>
      <c r="J20" s="31"/>
      <c r="K20" s="70" t="s">
        <v>69</v>
      </c>
      <c r="L20" s="70"/>
      <c r="M20" s="70"/>
      <c r="N20" s="70"/>
      <c r="O20" s="70"/>
      <c r="P20" s="70"/>
      <c r="Q20" s="70"/>
      <c r="R20" s="70"/>
    </row>
    <row r="21" spans="3:18" x14ac:dyDescent="0.25">
      <c r="E21" s="116">
        <v>2025</v>
      </c>
      <c r="F21" s="87" t="s">
        <v>38</v>
      </c>
      <c r="G21" s="101">
        <v>5</v>
      </c>
      <c r="H21" s="102">
        <f>IF(AND(G21="",$G$24&lt;12),"",G21/G20)</f>
        <v>1.6666666666666667</v>
      </c>
      <c r="I21" s="117">
        <f>(IF(OR($C$4="",$C$5=""),"",IF(F21=$C$4,$C$5,H21*I20)))</f>
        <v>357.14285714285711</v>
      </c>
      <c r="J21" s="31"/>
      <c r="K21" s="70"/>
      <c r="L21" s="70"/>
      <c r="M21" s="70"/>
      <c r="N21" s="70"/>
      <c r="O21" s="70"/>
      <c r="P21" s="70"/>
      <c r="Q21" s="70"/>
      <c r="R21" s="70"/>
    </row>
    <row r="22" spans="3:18" x14ac:dyDescent="0.25">
      <c r="E22" s="116">
        <v>2025</v>
      </c>
      <c r="F22" s="87" t="s">
        <v>39</v>
      </c>
      <c r="G22" s="101">
        <v>7</v>
      </c>
      <c r="H22" s="102">
        <f t="shared" si="1"/>
        <v>1.4</v>
      </c>
      <c r="I22" s="117">
        <f>(IF(OR($C$4="",$C$5=""),"",IF(F22=$C$4,$C$5,H22*I21)))</f>
        <v>500</v>
      </c>
      <c r="J22" s="123"/>
      <c r="K22" s="70"/>
      <c r="L22" s="70"/>
      <c r="M22" s="70"/>
      <c r="N22" s="70"/>
      <c r="O22" s="70"/>
      <c r="P22" s="70"/>
      <c r="Q22" s="70"/>
      <c r="R22" s="70"/>
    </row>
    <row r="23" spans="3:18" ht="15.75" thickBot="1" x14ac:dyDescent="0.3">
      <c r="E23" s="118">
        <v>2025</v>
      </c>
      <c r="F23" s="119" t="s">
        <v>25</v>
      </c>
      <c r="G23" s="120">
        <v>8</v>
      </c>
      <c r="H23" s="121">
        <f t="shared" si="1"/>
        <v>1.1428571428571428</v>
      </c>
      <c r="I23" s="122">
        <f>(IF(OR($C$4="",$C$5=""),"",IF(F23=$C$4,$C$5,H23*I22)))</f>
        <v>571.42857142857144</v>
      </c>
      <c r="J23" s="31"/>
      <c r="K23" s="127" t="s">
        <v>70</v>
      </c>
      <c r="L23" s="127"/>
      <c r="M23" s="127"/>
      <c r="N23" s="127"/>
      <c r="O23" s="127"/>
      <c r="P23" s="127"/>
      <c r="Q23" s="127"/>
      <c r="R23" s="127"/>
    </row>
    <row r="24" spans="3:18" ht="15.75" thickBot="1" x14ac:dyDescent="0.3">
      <c r="G24" s="124">
        <f>COUNTA(G12:G23)</f>
        <v>12</v>
      </c>
      <c r="H24" s="29"/>
      <c r="I24" s="128">
        <f>SUM(I12:I23)</f>
        <v>4857.1428571428569</v>
      </c>
      <c r="J24" s="31"/>
      <c r="K24" s="127"/>
      <c r="L24" s="127"/>
      <c r="M24" s="127"/>
      <c r="N24" s="127"/>
      <c r="O24" s="127"/>
      <c r="P24" s="127"/>
      <c r="Q24" s="127"/>
      <c r="R24" s="127"/>
    </row>
    <row r="25" spans="3:18" x14ac:dyDescent="0.25">
      <c r="K25" s="127"/>
      <c r="L25" s="127"/>
      <c r="M25" s="127"/>
      <c r="N25" s="127"/>
      <c r="O25" s="127"/>
      <c r="P25" s="127"/>
      <c r="Q25" s="127"/>
      <c r="R25" s="127"/>
    </row>
    <row r="29" spans="3:18" x14ac:dyDescent="0.25">
      <c r="C29" t="s">
        <v>71</v>
      </c>
    </row>
  </sheetData>
  <mergeCells count="17">
    <mergeCell ref="K20:R22"/>
    <mergeCell ref="K23:R25"/>
    <mergeCell ref="K12:R12"/>
    <mergeCell ref="K13:R14"/>
    <mergeCell ref="K16:M16"/>
    <mergeCell ref="K17:R19"/>
    <mergeCell ref="H10:H11"/>
    <mergeCell ref="I10:I11"/>
    <mergeCell ref="A2:C2"/>
    <mergeCell ref="A3:B3"/>
    <mergeCell ref="A4:B4"/>
    <mergeCell ref="A5:B5"/>
    <mergeCell ref="E10:E11"/>
    <mergeCell ref="F10:F11"/>
    <mergeCell ref="G10:G11"/>
    <mergeCell ref="K10:P10"/>
    <mergeCell ref="K11:L11"/>
  </mergeCells>
  <phoneticPr fontId="17" type="noConversion"/>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Ritmo do Negócio</vt:lpstr>
      <vt:lpstr>Banco de dados 1</vt:lpstr>
      <vt:lpstr>Banco de dados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Antonio Pereira Garcia</dc:creator>
  <cp:lastModifiedBy>Carlos Antonio Pereira Garcia</cp:lastModifiedBy>
  <dcterms:created xsi:type="dcterms:W3CDTF">2025-11-16T15:18:16Z</dcterms:created>
  <dcterms:modified xsi:type="dcterms:W3CDTF">2025-11-22T17:46:32Z</dcterms:modified>
</cp:coreProperties>
</file>